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Model" sheetId="2" r:id="rId2"/>
    <sheet name="Plants" sheetId="3" r:id="rId3"/>
    <sheet name="Cross" sheetId="4" r:id="rId4"/>
  </sheets>
  <calcPr fullCalcOnLoad="1"/>
</workbook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4"/>
      <color rgb="FF2E5D3B"/>
      <name val="Arial"/>
    </font>
    <font>
      <b/>
      <sz val="10"/>
      <color rgb="FFFFFFFF"/>
      <name val="Arial"/>
    </font>
    <font>
      <b/>
      <sz val="10"/>
      <name val="Arial"/>
    </font>
    <font>
      <i/>
      <sz val="9"/>
      <color rgb="FF555555"/>
      <name val="Arial"/>
    </font>
    <font>
      <i/>
      <sz val="8"/>
      <color rgb="FF999999"/>
      <name val="Arial"/>
    </font>
    <font>
      <b/>
      <i/>
      <sz val="10"/>
      <color rgb="FF2E5D3B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D3B"/>
        <bgColor indexed="64"/>
      </patternFill>
    </fill>
    <fill>
      <patternFill patternType="solid">
        <fgColor rgb="FFFFF2B2"/>
        <bgColor indexed="64"/>
      </patternFill>
    </fill>
    <fill>
      <patternFill patternType="solid">
        <fgColor rgb="FFFBFBEF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3" borderId="1" xfId="0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workbookViewId="0" showGridLines="0"/>
  </sheetViews>
  <sheetFormatPr defaultRowHeight="15"/>
  <cols>
    <col min="1" max="1" width="105" customWidth="1"/>
  </cols>
  <sheetData>
    <row r="1">
      <c r="A1" s="1" t="inlineStr">
        <is>
          <t xml:space="preserve">Seed Library — Phase 0 genetics sandbox</t>
        </is>
      </c>
    </row>
    <row r="3">
      <c r="A3" t="inlineStr">
        <is>
          <t xml:space="preserve">The cheapest possible test of the breeding loop: no code, no art. Cross two</t>
        </is>
      </c>
    </row>
    <row r="4">
      <c r="A4" t="inlineStr">
        <is>
          <t xml:space="preserve">plants by hand and ask one question — does crossing feel EARNED, or random?</t>
        </is>
      </c>
    </row>
    <row r="6">
      <c r="A6" s="3" t="inlineStr">
        <is>
          <t xml:space="preserve">The model (see the Model tab for detail):</t>
        </is>
      </c>
    </row>
    <row r="7">
      <c r="A7" t="inlineStr">
        <is>
          <t xml:space="preserve">  • Every gene is diploid — two hidden alleles. A plant carries what it doesn't show.</t>
        </is>
      </c>
    </row>
    <row r="8">
      <c r="A8" t="inlineStr">
        <is>
          <t xml:space="preserve">  • Smooth traits (hue, sat, scent, hardiness, size) are polygenic — several loci summed,</t>
        </is>
      </c>
    </row>
    <row r="9">
      <c r="A9" t="inlineStr">
        <is>
          <t xml:space="preserve">    so stacking good alleles from both parents can beat either parent (transgressive breeding).</t>
        </is>
      </c>
    </row>
    <row r="10">
      <c r="A10" t="inlineStr">
        <is>
          <t xml:space="preserve">  • Discrete traits (petal, thorns) are Mendelian with ranked dominance; recessives hide.</t>
        </is>
      </c>
    </row>
    <row r="11">
      <c r="A11" t="inlineStr">
        <is>
          <t xml:space="preserve">  • hardiness &amp; flower_size are LINKED (antagonistic) — inherited together, rarely split.</t>
        </is>
      </c>
    </row>
    <row r="12">
      <c r="A12" t="inlineStr">
        <is>
          <t xml:space="preserve">  • Variation is emergent from allele reshuffling — no fudge randomness.</t>
        </is>
      </c>
    </row>
    <row r="14">
      <c r="A14" s="3" t="inlineStr">
        <is>
          <t xml:space="preserve">How to play:</t>
        </is>
      </c>
    </row>
    <row r="15">
      <c r="A15" t="inlineStr">
        <is>
          <t xml:space="preserve">  1. On the CROSS tab, set Parent 1 ID and Parent 2 ID (any ID from the Plants tab).</t>
        </is>
      </c>
    </row>
    <row r="16">
      <c r="A16" t="inlineStr">
        <is>
          <t xml:space="preserve">  2. Read the 5 offspring it rolls. Press F9 (Ctrl+Shift+F9 in Excel) to reshuffle them —</t>
        </is>
      </c>
    </row>
    <row r="17">
      <c r="A17" t="inlineStr">
        <is>
          <t xml:space="preserve">     that's one cross producing a fresh handful of seeds each time.</t>
        </is>
      </c>
    </row>
    <row r="18">
      <c r="A18" t="inlineStr">
        <is>
          <t xml:space="preserve">  3. To KEEP an offspring: select its allele cells (columns C–X of that row), Copy, then</t>
        </is>
      </c>
    </row>
    <row r="19">
      <c r="A19" t="inlineStr">
        <is>
          <t xml:space="preserve">     Paste-Special → Values-only into the first empty row on the Plants tab. Give it an ID + name.</t>
        </is>
      </c>
    </row>
    <row r="20">
      <c r="A20" t="inlineStr">
        <is>
          <t xml:space="preserve">  4. Now cross your kept plant further. Repeat across generations.</t>
        </is>
      </c>
    </row>
    <row r="22">
      <c r="A22" s="3" t="inlineStr">
        <is>
          <t xml:space="preserve">The Phase-0 goal:</t>
        </is>
      </c>
    </row>
    <row r="23">
      <c r="A23" t="inlineStr">
        <is>
          <t xml:space="preserve">  Breed a SATURATED BLUE, THORNLESS flower — hue 220–240, sat &gt; 80, thorns = thornless —</t>
        </is>
      </c>
    </row>
    <row r="24">
      <c r="A24" t="inlineStr">
        <is>
          <t xml:space="preserve">  and count how many generations it takes. Then ask: did it feel like a plan half-working,</t>
        </is>
      </c>
    </row>
    <row r="25">
      <c r="A25" t="inlineStr">
        <is>
          <t xml:space="preserve">  or like rolling dice? If it feels random, fix the model here. Cheapest place there is.</t>
        </is>
      </c>
    </row>
    <row r="27">
      <c r="A27" s="4" t="inlineStr">
        <is>
          <t xml:space="preserve">Cells you edit are shaded yellow. Everything else is computed — leave the formulas alone.</t>
        </is>
      </c>
    </row>
    <row r="28">
      <c r="A28" s="4" t="inlineStr">
        <is>
          <t xml:space="preserve">The 'carrying ?' flag rehearses start-legibility: it warns a plant hides something, not what.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 showGridLines="0"/>
  </sheetViews>
  <sheetFormatPr defaultRowHeight="15"/>
  <cols>
    <col min="1" max="1" width="14" customWidth="1"/>
    <col min="2" max="2" width="22" customWidth="1"/>
    <col min="3" max="3" width="11" customWidth="1"/>
    <col min="4" max="4" width="16" customWidth="1"/>
    <col min="5" max="5" width="24" customWidth="1"/>
    <col min="6" max="6" width="34" customWidth="1"/>
  </cols>
  <sheetData>
    <row r="1">
      <c r="A1" s="1" t="inlineStr">
        <is>
          <t xml:space="preserve">The genetic model</t>
        </is>
      </c>
    </row>
    <row r="3">
      <c r="A3" s="2" t="inlineStr">
        <is>
          <t xml:space="preserve">Trait</t>
        </is>
      </c>
      <c r="B3" s="2" t="inlineStr">
        <is>
          <t xml:space="preserve">Type</t>
        </is>
      </c>
      <c r="C3" s="2" t="inlineStr">
        <is>
          <t xml:space="preserve">Loci</t>
        </is>
      </c>
      <c r="D3" s="2" t="inlineStr">
        <is>
          <t xml:space="preserve">Allele range</t>
        </is>
      </c>
      <c r="E3" s="2" t="inlineStr">
        <is>
          <t xml:space="preserve">Expressed value</t>
        </is>
      </c>
      <c r="F3" s="2" t="inlineStr">
        <is>
          <t xml:space="preserve">Notes</t>
        </is>
      </c>
    </row>
    <row r="4">
      <c r="A4" t="inlineStr">
        <is>
          <t xml:space="preserve">hue</t>
        </is>
      </c>
      <c r="B4" t="inlineStr">
        <is>
          <t xml:space="preserve">continuous (polygenic)</t>
        </is>
      </c>
      <c r="C4" t="inlineStr">
        <is>
          <t xml:space="preserve">3 diploid</t>
        </is>
      </c>
      <c r="D4" t="inlineStr">
        <is>
          <t xml:space="preserve">0–60 each</t>
        </is>
      </c>
      <c r="E4" t="inlineStr">
        <is>
          <t xml:space="preserve">sum of 6 alleles (0–360)</t>
        </is>
      </c>
      <c r="F4" t="inlineStr">
        <is>
          <t xml:space="preserve">blue ≈ 220–240</t>
        </is>
      </c>
    </row>
    <row r="5">
      <c r="A5" t="inlineStr">
        <is>
          <t xml:space="preserve">sat</t>
        </is>
      </c>
      <c r="B5" t="inlineStr">
        <is>
          <t xml:space="preserve">continuous (polygenic)</t>
        </is>
      </c>
      <c r="C5" t="inlineStr">
        <is>
          <t xml:space="preserve">2 diploid</t>
        </is>
      </c>
      <c r="D5" t="inlineStr">
        <is>
          <t xml:space="preserve">0–25 each</t>
        </is>
      </c>
      <c r="E5" t="inlineStr">
        <is>
          <t xml:space="preserve">sum of 4 alleles (0–100)</t>
        </is>
      </c>
      <c r="F5" t="inlineStr">
        <is>
          <t xml:space="preserve"/>
        </is>
      </c>
    </row>
    <row r="6">
      <c r="A6" t="inlineStr">
        <is>
          <t xml:space="preserve">scent</t>
        </is>
      </c>
      <c r="B6" t="inlineStr">
        <is>
          <t xml:space="preserve">continuous (polygenic)</t>
        </is>
      </c>
      <c r="C6" t="inlineStr">
        <is>
          <t xml:space="preserve">2 diploid</t>
        </is>
      </c>
      <c r="D6" t="inlineStr">
        <is>
          <t xml:space="preserve">0–25 each</t>
        </is>
      </c>
      <c r="E6" t="inlineStr">
        <is>
          <t xml:space="preserve">sum of 4 alleles (0–100)</t>
        </is>
      </c>
      <c r="F6" t="inlineStr">
        <is>
          <t xml:space="preserve"/>
        </is>
      </c>
    </row>
    <row r="7">
      <c r="A7" t="inlineStr">
        <is>
          <t xml:space="preserve">hardiness</t>
        </is>
      </c>
      <c r="B7" t="inlineStr">
        <is>
          <t xml:space="preserve">continuous (linked)</t>
        </is>
      </c>
      <c r="C7" t="inlineStr">
        <is>
          <t xml:space="preserve">1 diploid</t>
        </is>
      </c>
      <c r="D7" t="inlineStr">
        <is>
          <t xml:space="preserve">0–100 / segment</t>
        </is>
      </c>
      <c r="E7" t="inlineStr">
        <is>
          <t xml:space="preserve">avg of 2 segments</t>
        </is>
      </c>
      <c r="F7" t="inlineStr">
        <is>
          <t xml:space="preserve">LINKED to flower_size</t>
        </is>
      </c>
    </row>
    <row r="8">
      <c r="A8" t="inlineStr">
        <is>
          <t xml:space="preserve">flower_size</t>
        </is>
      </c>
      <c r="B8" t="inlineStr">
        <is>
          <t xml:space="preserve">continuous (linked)</t>
        </is>
      </c>
      <c r="C8" t="inlineStr">
        <is>
          <t xml:space="preserve">1 diploid</t>
        </is>
      </c>
      <c r="D8" t="inlineStr">
        <is>
          <t xml:space="preserve">0–100 / segment</t>
        </is>
      </c>
      <c r="E8" t="inlineStr">
        <is>
          <t xml:space="preserve">avg of 2 segments</t>
        </is>
      </c>
      <c r="F8" t="inlineStr">
        <is>
          <t xml:space="preserve">LINKED to hardiness</t>
        </is>
      </c>
    </row>
    <row r="9">
      <c r="A9" t="inlineStr">
        <is>
          <t xml:space="preserve">petal</t>
        </is>
      </c>
      <c r="B9" t="inlineStr">
        <is>
          <t xml:space="preserve">discrete</t>
        </is>
      </c>
      <c r="C9" t="inlineStr">
        <is>
          <t xml:space="preserve">1 diploid</t>
        </is>
      </c>
      <c r="D9" t="inlineStr">
        <is>
          <t xml:space="preserve">F, R, S</t>
        </is>
      </c>
      <c r="E9" t="inlineStr">
        <is>
          <t xml:space="preserve">highest rank present</t>
        </is>
      </c>
      <c r="F9" t="inlineStr">
        <is>
          <t xml:space="preserve">dominance F &gt; R &gt; S</t>
        </is>
      </c>
    </row>
    <row r="10">
      <c r="A10" t="inlineStr">
        <is>
          <t xml:space="preserve">thorns</t>
        </is>
      </c>
      <c r="B10" t="inlineStr">
        <is>
          <t xml:space="preserve">discrete</t>
        </is>
      </c>
      <c r="C10" t="inlineStr">
        <is>
          <t xml:space="preserve">1 diploid</t>
        </is>
      </c>
      <c r="D10" t="inlineStr">
        <is>
          <t xml:space="preserve">T, n</t>
        </is>
      </c>
      <c r="E10" t="inlineStr">
        <is>
          <t xml:space="preserve">thorny if any T</t>
        </is>
      </c>
      <c r="F10" t="inlineStr">
        <is>
          <t xml:space="preserve">T dominant, n (thornless) recessive</t>
        </is>
      </c>
    </row>
    <row r="13">
      <c r="A13" s="4" t="inlineStr">
        <is>
          <t xml:space="preserve">Inheritance:  each parent passes ONE random allele per locus (Mendel); the child gets one from each.</t>
        </is>
      </c>
    </row>
    <row r="14">
      <c r="A14" s="4" t="inlineStr">
        <is>
          <t xml:space="preserve">True-breeding:  a plant whose two alleles match at every locus breeds true. Heterozygotes segregate.</t>
        </is>
      </c>
    </row>
    <row r="15">
      <c r="A15" s="4" t="inlineStr">
        <is>
          <t xml:space="preserve">Linkage:  hardiness &amp; flower_size ride on the same chromosome and are inherited together. Each cross</t>
        </is>
      </c>
    </row>
    <row r="16">
      <c r="A16" s="4" t="inlineStr">
        <is>
          <t xml:space="preserve">          has a small crossover chance (default 5%, editable on the Cross tab) to split the pair — that</t>
        </is>
      </c>
    </row>
    <row r="17">
      <c r="A17" s="4" t="inlineStr">
        <is>
          <t xml:space="preserve">          rare event is how a late-game 'hardy AND showy' plant is finally bred. Breakable, but earned.</t>
        </is>
      </c>
    </row>
    <row r="18">
      <c r="A18" s="4" t="inlineStr">
        <is>
          <t xml:space="preserve">Environment:  deferred. A tiny non-heritable 'wobble ±' knob (default 0) stands in for the Phase-1</t>
        </is>
      </c>
    </row>
    <row r="19">
      <c r="A19" s="4" t="inlineStr">
        <is>
          <t xml:space="preserve">          system; it nudges the shown value only, never the genes.</t>
        </is>
      </c>
    </row>
    <row r="20">
      <c r="A20" s="4" t="inlineStr">
        <is>
          <t xml:space="preserve">Offspring per cross:  3–5 seeds to select from (this sheet rolls 5).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24"/>
  <sheetViews>
    <sheetView workbookViewId="0">
      <pane xSplit="2" ySplit="2" topLeftCell="C3" activePane="bottomRight" state="frozen"/>
    </sheetView>
  </sheetViews>
  <sheetFormatPr defaultRowHeight="15"/>
  <cols>
    <col min="1" max="1" width="10" customWidth="1"/>
    <col min="2" max="2" width="30" customWidth="1"/>
    <col min="3" max="24" width="6.5" customWidth="1"/>
    <col min="25" max="32" width="11" customWidth="1"/>
  </cols>
  <sheetData>
    <row r="1">
      <c r="A1" s="1" t="inlineStr">
        <is>
          <t xml:space="preserve">Plants — your library (8 wild + room to keep what you breed)</t>
        </is>
      </c>
      <c r="C1" s="4" t="inlineStr">
        <is>
          <t xml:space="preserve">◀ hidden genotype (two alleles per gene)</t>
        </is>
      </c>
      <c r="Y1" s="4" t="inlineStr">
        <is>
          <t xml:space="preserve">◀ what you see</t>
        </is>
      </c>
    </row>
    <row r="2">
      <c r="A2" s="2" t="inlineStr">
        <is>
          <t xml:space="preserve">ID</t>
        </is>
      </c>
      <c r="B2" s="2" t="inlineStr">
        <is>
          <t xml:space="preserve">Name</t>
        </is>
      </c>
      <c r="C2" s="2" t="inlineStr">
        <is>
          <t xml:space="preserve">H1a</t>
        </is>
      </c>
      <c r="D2" s="2" t="inlineStr">
        <is>
          <t xml:space="preserve">H1b</t>
        </is>
      </c>
      <c r="E2" s="2" t="inlineStr">
        <is>
          <t xml:space="preserve">H2a</t>
        </is>
      </c>
      <c r="F2" s="2" t="inlineStr">
        <is>
          <t xml:space="preserve">H2b</t>
        </is>
      </c>
      <c r="G2" s="2" t="inlineStr">
        <is>
          <t xml:space="preserve">H3a</t>
        </is>
      </c>
      <c r="H2" s="2" t="inlineStr">
        <is>
          <t xml:space="preserve">H3b</t>
        </is>
      </c>
      <c r="I2" s="2" t="inlineStr">
        <is>
          <t xml:space="preserve">S1a</t>
        </is>
      </c>
      <c r="J2" s="2" t="inlineStr">
        <is>
          <t xml:space="preserve">S1b</t>
        </is>
      </c>
      <c r="K2" s="2" t="inlineStr">
        <is>
          <t xml:space="preserve">S2a</t>
        </is>
      </c>
      <c r="L2" s="2" t="inlineStr">
        <is>
          <t xml:space="preserve">S2b</t>
        </is>
      </c>
      <c r="M2" s="2" t="inlineStr">
        <is>
          <t xml:space="preserve">C1a</t>
        </is>
      </c>
      <c r="N2" s="2" t="inlineStr">
        <is>
          <t xml:space="preserve">C1b</t>
        </is>
      </c>
      <c r="O2" s="2" t="inlineStr">
        <is>
          <t xml:space="preserve">C2a</t>
        </is>
      </c>
      <c r="P2" s="2" t="inlineStr">
        <is>
          <t xml:space="preserve">C2b</t>
        </is>
      </c>
      <c r="Q2" s="2" t="inlineStr">
        <is>
          <t xml:space="preserve">PFa</t>
        </is>
      </c>
      <c r="R2" s="2" t="inlineStr">
        <is>
          <t xml:space="preserve">PFb</t>
        </is>
      </c>
      <c r="S2" s="2" t="inlineStr">
        <is>
          <t xml:space="preserve">THa</t>
        </is>
      </c>
      <c r="T2" s="2" t="inlineStr">
        <is>
          <t xml:space="preserve">THb</t>
        </is>
      </c>
      <c r="U2" s="2" t="inlineStr">
        <is>
          <t xml:space="preserve">segA_hard</t>
        </is>
      </c>
      <c r="V2" s="2" t="inlineStr">
        <is>
          <t xml:space="preserve">segA_size</t>
        </is>
      </c>
      <c r="W2" s="2" t="inlineStr">
        <is>
          <t xml:space="preserve">segB_hard</t>
        </is>
      </c>
      <c r="X2" s="2" t="inlineStr">
        <is>
          <t xml:space="preserve">segB_size</t>
        </is>
      </c>
      <c r="Y2" s="2" t="inlineStr">
        <is>
          <t xml:space="preserve">hue (0-360)</t>
        </is>
      </c>
      <c r="Z2" s="2" t="inlineStr">
        <is>
          <t xml:space="preserve">sat (0-100)</t>
        </is>
      </c>
      <c r="AA2" s="2" t="inlineStr">
        <is>
          <t xml:space="preserve">scent (0-100)</t>
        </is>
      </c>
      <c r="AB2" s="2" t="inlineStr">
        <is>
          <t xml:space="preserve">petal</t>
        </is>
      </c>
      <c r="AC2" s="2" t="inlineStr">
        <is>
          <t xml:space="preserve">thorns</t>
        </is>
      </c>
      <c r="AD2" s="2" t="inlineStr">
        <is>
          <t xml:space="preserve">hardiness</t>
        </is>
      </c>
      <c r="AE2" s="2" t="inlineStr">
        <is>
          <t xml:space="preserve">flower_size</t>
        </is>
      </c>
      <c r="AF2" s="2" t="inlineStr">
        <is>
          <t xml:space="preserve">carrying?</t>
        </is>
      </c>
    </row>
    <row r="3">
      <c r="A3" s="3" t="inlineStr">
        <is>
          <t xml:space="preserve">WILD-01</t>
        </is>
      </c>
      <c r="B3" t="inlineStr">
        <is>
          <t xml:space="preserve">Ridge Thistle (hardiness)</t>
        </is>
      </c>
      <c r="C3" s="6">
        <v>20</v>
      </c>
      <c r="D3" s="6">
        <v>20</v>
      </c>
      <c r="E3" s="6">
        <v>20</v>
      </c>
      <c r="F3" s="6">
        <v>20</v>
      </c>
      <c r="G3" s="6">
        <v>20</v>
      </c>
      <c r="H3" s="6">
        <v>20</v>
      </c>
      <c r="I3" s="6">
        <v>5</v>
      </c>
      <c r="J3" s="6">
        <v>5</v>
      </c>
      <c r="K3" s="6">
        <v>5</v>
      </c>
      <c r="L3" s="6">
        <v>5</v>
      </c>
      <c r="M3" s="6">
        <v>3</v>
      </c>
      <c r="N3" s="6">
        <v>3</v>
      </c>
      <c r="O3" s="6">
        <v>3</v>
      </c>
      <c r="P3" s="6">
        <v>3</v>
      </c>
      <c r="Q3" s="6" t="inlineStr">
        <is>
          <t xml:space="preserve">S</t>
        </is>
      </c>
      <c r="R3" s="6" t="inlineStr">
        <is>
          <t xml:space="preserve">S</t>
        </is>
      </c>
      <c r="S3" s="6" t="inlineStr">
        <is>
          <t xml:space="preserve">T</t>
        </is>
      </c>
      <c r="T3" s="6" t="inlineStr">
        <is>
          <t xml:space="preserve">T</t>
        </is>
      </c>
      <c r="U3" s="6">
        <v>86</v>
      </c>
      <c r="V3" s="6">
        <v>14</v>
      </c>
      <c r="W3" s="6">
        <v>86</v>
      </c>
      <c r="X3" s="6">
        <v>14</v>
      </c>
      <c r="Y3" s="6">
        <f>IF($A3="","",SUM(C3:H3))</f>
      </c>
      <c r="Z3" s="6">
        <f>IF($A3="","",SUM(I3:L3))</f>
      </c>
      <c r="AA3" s="6">
        <f>IF($A3="","",SUM(M3:P3))</f>
      </c>
      <c r="AB3" s="6">
        <f>IF($A3="","",IF(IF(Q3="F",3,IF(Q3="R",2,1))&gt;=IF(R3="F",3,IF(R3="R",2,1)),Q3,R3))</f>
      </c>
      <c r="AC3" s="6">
        <f>IF($A3="","",IF(OR(S3="T",T3="T"),"thorny","thornless"))</f>
      </c>
      <c r="AD3" s="6">
        <f>IF($A3="","",AVERAGE(U3,W3))</f>
      </c>
      <c r="AE3" s="6">
        <f>IF($A3="","",AVERAGE(V3,X3))</f>
      </c>
      <c r="AF3" s="6">
        <f>IF($A3="","",IF(OR(C3&lt;&gt;D3,E3&lt;&gt;F3,G3&lt;&gt;H3,I3&lt;&gt;J3,K3&lt;&gt;L3,M3&lt;&gt;N3,O3&lt;&gt;P3,Q3&lt;&gt;R3,S3&lt;&gt;T3,U3&lt;&gt;W3,V3&lt;&gt;X3),"carrying ?","true-breeding"))</f>
      </c>
    </row>
    <row r="4">
      <c r="A4" s="3" t="inlineStr">
        <is>
          <t xml:space="preserve">WILD-02</t>
        </is>
      </c>
      <c r="B4" t="inlineStr">
        <is>
          <t xml:space="preserve">Valley Peony (flower size)</t>
        </is>
      </c>
      <c r="C4" s="6">
        <v>22</v>
      </c>
      <c r="D4" s="6">
        <v>22</v>
      </c>
      <c r="E4" s="6">
        <v>22</v>
      </c>
      <c r="F4" s="6">
        <v>22</v>
      </c>
      <c r="G4" s="6">
        <v>21</v>
      </c>
      <c r="H4" s="6">
        <v>21</v>
      </c>
      <c r="I4" s="6">
        <v>6</v>
      </c>
      <c r="J4" s="6">
        <v>6</v>
      </c>
      <c r="K4" s="6">
        <v>6</v>
      </c>
      <c r="L4" s="6">
        <v>6</v>
      </c>
      <c r="M4" s="6">
        <v>3</v>
      </c>
      <c r="N4" s="6">
        <v>3</v>
      </c>
      <c r="O4" s="6">
        <v>3</v>
      </c>
      <c r="P4" s="6">
        <v>3</v>
      </c>
      <c r="Q4" s="6" t="inlineStr">
        <is>
          <t xml:space="preserve">R</t>
        </is>
      </c>
      <c r="R4" s="6" t="inlineStr">
        <is>
          <t xml:space="preserve">R</t>
        </is>
      </c>
      <c r="S4" s="6" t="inlineStr">
        <is>
          <t xml:space="preserve">T</t>
        </is>
      </c>
      <c r="T4" s="6" t="inlineStr">
        <is>
          <t xml:space="preserve">T</t>
        </is>
      </c>
      <c r="U4" s="6">
        <v>14</v>
      </c>
      <c r="V4" s="6">
        <v>89</v>
      </c>
      <c r="W4" s="6">
        <v>14</v>
      </c>
      <c r="X4" s="6">
        <v>89</v>
      </c>
      <c r="Y4" s="6">
        <f>IF($A4="","",SUM(C4:H4))</f>
      </c>
      <c r="Z4" s="6">
        <f>IF($A4="","",SUM(I4:L4))</f>
      </c>
      <c r="AA4" s="6">
        <f>IF($A4="","",SUM(M4:P4))</f>
      </c>
      <c r="AB4" s="6">
        <f>IF($A4="","",IF(IF(Q4="F",3,IF(Q4="R",2,1))&gt;=IF(R4="F",3,IF(R4="R",2,1)),Q4,R4))</f>
      </c>
      <c r="AC4" s="6">
        <f>IF($A4="","",IF(OR(S4="T",T4="T"),"thorny","thornless"))</f>
      </c>
      <c r="AD4" s="6">
        <f>IF($A4="","",AVERAGE(U4,W4))</f>
      </c>
      <c r="AE4" s="6">
        <f>IF($A4="","",AVERAGE(V4,X4))</f>
      </c>
      <c r="AF4" s="6">
        <f>IF($A4="","",IF(OR(C4&lt;&gt;D4,E4&lt;&gt;F4,G4&lt;&gt;H4,I4&lt;&gt;J4,K4&lt;&gt;L4,M4&lt;&gt;N4,O4&lt;&gt;P4,Q4&lt;&gt;R4,S4&lt;&gt;T4,U4&lt;&gt;W4,V4&lt;&gt;X4),"carrying ?","true-breeding"))</f>
      </c>
    </row>
    <row r="5">
      <c r="A5" s="3" t="inlineStr">
        <is>
          <t xml:space="preserve">WILD-03</t>
        </is>
      </c>
      <c r="B5" t="inlineStr">
        <is>
          <t xml:space="preserve">Cobalt Star (blue colour)</t>
        </is>
      </c>
      <c r="C5" s="6">
        <v>38</v>
      </c>
      <c r="D5" s="6">
        <v>38</v>
      </c>
      <c r="E5" s="6">
        <v>38</v>
      </c>
      <c r="F5" s="6">
        <v>38</v>
      </c>
      <c r="G5" s="6">
        <v>39</v>
      </c>
      <c r="H5" s="6">
        <v>39</v>
      </c>
      <c r="I5" s="6">
        <v>24</v>
      </c>
      <c r="J5" s="6">
        <v>24</v>
      </c>
      <c r="K5" s="6">
        <v>24</v>
      </c>
      <c r="L5" s="6">
        <v>24</v>
      </c>
      <c r="M5" s="6">
        <v>3</v>
      </c>
      <c r="N5" s="6">
        <v>3</v>
      </c>
      <c r="O5" s="6">
        <v>3</v>
      </c>
      <c r="P5" s="6">
        <v>3</v>
      </c>
      <c r="Q5" s="6" t="inlineStr">
        <is>
          <t xml:space="preserve">S</t>
        </is>
      </c>
      <c r="R5" s="6" t="inlineStr">
        <is>
          <t xml:space="preserve">S</t>
        </is>
      </c>
      <c r="S5" s="6" t="inlineStr">
        <is>
          <t xml:space="preserve">T</t>
        </is>
      </c>
      <c r="T5" s="6" t="inlineStr">
        <is>
          <t xml:space="preserve">n</t>
        </is>
      </c>
      <c r="U5" s="6">
        <v>21</v>
      </c>
      <c r="V5" s="6">
        <v>21</v>
      </c>
      <c r="W5" s="6">
        <v>21</v>
      </c>
      <c r="X5" s="6">
        <v>21</v>
      </c>
      <c r="Y5" s="6">
        <f>IF($A5="","",SUM(C5:H5))</f>
      </c>
      <c r="Z5" s="6">
        <f>IF($A5="","",SUM(I5:L5))</f>
      </c>
      <c r="AA5" s="6">
        <f>IF($A5="","",SUM(M5:P5))</f>
      </c>
      <c r="AB5" s="6">
        <f>IF($A5="","",IF(IF(Q5="F",3,IF(Q5="R",2,1))&gt;=IF(R5="F",3,IF(R5="R",2,1)),Q5,R5))</f>
      </c>
      <c r="AC5" s="6">
        <f>IF($A5="","",IF(OR(S5="T",T5="T"),"thorny","thornless"))</f>
      </c>
      <c r="AD5" s="6">
        <f>IF($A5="","",AVERAGE(U5,W5))</f>
      </c>
      <c r="AE5" s="6">
        <f>IF($A5="","",AVERAGE(V5,X5))</f>
      </c>
      <c r="AF5" s="6">
        <f>IF($A5="","",IF(OR(C5&lt;&gt;D5,E5&lt;&gt;F5,G5&lt;&gt;H5,I5&lt;&gt;J5,K5&lt;&gt;L5,M5&lt;&gt;N5,O5&lt;&gt;P5,Q5&lt;&gt;R5,S5&lt;&gt;T5,U5&lt;&gt;W5,V5&lt;&gt;X5),"carrying ?","true-breeding"))</f>
      </c>
    </row>
    <row r="6">
      <c r="A6" s="3" t="inlineStr">
        <is>
          <t xml:space="preserve">WILD-04</t>
        </is>
      </c>
      <c r="B6" t="inlineStr">
        <is>
          <t xml:space="preserve">Nightbloom (scent)</t>
        </is>
      </c>
      <c r="C6" s="6">
        <v>48</v>
      </c>
      <c r="D6" s="6">
        <v>48</v>
      </c>
      <c r="E6" s="6">
        <v>47</v>
      </c>
      <c r="F6" s="6">
        <v>47</v>
      </c>
      <c r="G6" s="6">
        <v>47</v>
      </c>
      <c r="H6" s="6">
        <v>47</v>
      </c>
      <c r="I6" s="6">
        <v>10</v>
      </c>
      <c r="J6" s="6">
        <v>10</v>
      </c>
      <c r="K6" s="6">
        <v>10</v>
      </c>
      <c r="L6" s="6">
        <v>10</v>
      </c>
      <c r="M6" s="6">
        <v>24</v>
      </c>
      <c r="N6" s="6">
        <v>24</v>
      </c>
      <c r="O6" s="6">
        <v>24</v>
      </c>
      <c r="P6" s="6">
        <v>24</v>
      </c>
      <c r="Q6" s="6" t="inlineStr">
        <is>
          <t xml:space="preserve">F</t>
        </is>
      </c>
      <c r="R6" s="6" t="inlineStr">
        <is>
          <t xml:space="preserve">F</t>
        </is>
      </c>
      <c r="S6" s="6" t="inlineStr">
        <is>
          <t xml:space="preserve">T</t>
        </is>
      </c>
      <c r="T6" s="6" t="inlineStr">
        <is>
          <t xml:space="preserve">T</t>
        </is>
      </c>
      <c r="U6" s="6">
        <v>19</v>
      </c>
      <c r="V6" s="6">
        <v>19</v>
      </c>
      <c r="W6" s="6">
        <v>19</v>
      </c>
      <c r="X6" s="6">
        <v>19</v>
      </c>
      <c r="Y6" s="6">
        <f>IF($A6="","",SUM(C6:H6))</f>
      </c>
      <c r="Z6" s="6">
        <f>IF($A6="","",SUM(I6:L6))</f>
      </c>
      <c r="AA6" s="6">
        <f>IF($A6="","",SUM(M6:P6))</f>
      </c>
      <c r="AB6" s="6">
        <f>IF($A6="","",IF(IF(Q6="F",3,IF(Q6="R",2,1))&gt;=IF(R6="F",3,IF(R6="R",2,1)),Q6,R6))</f>
      </c>
      <c r="AC6" s="6">
        <f>IF($A6="","",IF(OR(S6="T",T6="T"),"thorny","thornless"))</f>
      </c>
      <c r="AD6" s="6">
        <f>IF($A6="","",AVERAGE(U6,W6))</f>
      </c>
      <c r="AE6" s="6">
        <f>IF($A6="","",AVERAGE(V6,X6))</f>
      </c>
      <c r="AF6" s="6">
        <f>IF($A6="","",IF(OR(C6&lt;&gt;D6,E6&lt;&gt;F6,G6&lt;&gt;H6,I6&lt;&gt;J6,K6&lt;&gt;L6,M6&lt;&gt;N6,O6&lt;&gt;P6,Q6&lt;&gt;R6,S6&lt;&gt;T6,U6&lt;&gt;W6,V6&lt;&gt;X6),"carrying ?","true-breeding"))</f>
      </c>
    </row>
    <row r="7">
      <c r="A7" s="3" t="inlineStr">
        <is>
          <t xml:space="preserve">WILD-05</t>
        </is>
      </c>
      <c r="B7" t="inlineStr">
        <is>
          <t xml:space="preserve">Sunfrill (warm &amp; saturated)</t>
        </is>
      </c>
      <c r="C7" s="6">
        <v>7</v>
      </c>
      <c r="D7" s="6">
        <v>7</v>
      </c>
      <c r="E7" s="6">
        <v>7</v>
      </c>
      <c r="F7" s="6">
        <v>7</v>
      </c>
      <c r="G7" s="6">
        <v>6</v>
      </c>
      <c r="H7" s="6">
        <v>6</v>
      </c>
      <c r="I7" s="6">
        <v>24</v>
      </c>
      <c r="J7" s="6">
        <v>24</v>
      </c>
      <c r="K7" s="6">
        <v>24</v>
      </c>
      <c r="L7" s="6">
        <v>24</v>
      </c>
      <c r="M7" s="6">
        <v>8</v>
      </c>
      <c r="N7" s="6">
        <v>8</v>
      </c>
      <c r="O7" s="6">
        <v>7</v>
      </c>
      <c r="P7" s="6">
        <v>7</v>
      </c>
      <c r="Q7" s="6" t="inlineStr">
        <is>
          <t xml:space="preserve">F</t>
        </is>
      </c>
      <c r="R7" s="6" t="inlineStr">
        <is>
          <t xml:space="preserve">F</t>
        </is>
      </c>
      <c r="S7" s="6" t="inlineStr">
        <is>
          <t xml:space="preserve">T</t>
        </is>
      </c>
      <c r="T7" s="6" t="inlineStr">
        <is>
          <t xml:space="preserve">T</t>
        </is>
      </c>
      <c r="U7" s="6">
        <v>27</v>
      </c>
      <c r="V7" s="6">
        <v>28</v>
      </c>
      <c r="W7" s="6">
        <v>27</v>
      </c>
      <c r="X7" s="6">
        <v>28</v>
      </c>
      <c r="Y7" s="6">
        <f>IF($A7="","",SUM(C7:H7))</f>
      </c>
      <c r="Z7" s="6">
        <f>IF($A7="","",SUM(I7:L7))</f>
      </c>
      <c r="AA7" s="6">
        <f>IF($A7="","",SUM(M7:P7))</f>
      </c>
      <c r="AB7" s="6">
        <f>IF($A7="","",IF(IF(Q7="F",3,IF(Q7="R",2,1))&gt;=IF(R7="F",3,IF(R7="R",2,1)),Q7,R7))</f>
      </c>
      <c r="AC7" s="6">
        <f>IF($A7="","",IF(OR(S7="T",T7="T"),"thorny","thornless"))</f>
      </c>
      <c r="AD7" s="6">
        <f>IF($A7="","",AVERAGE(U7,W7))</f>
      </c>
      <c r="AE7" s="6">
        <f>IF($A7="","",AVERAGE(V7,X7))</f>
      </c>
      <c r="AF7" s="6">
        <f>IF($A7="","",IF(OR(C7&lt;&gt;D7,E7&lt;&gt;F7,G7&lt;&gt;H7,I7&lt;&gt;J7,K7&lt;&gt;L7,M7&lt;&gt;N7,O7&lt;&gt;P7,Q7&lt;&gt;R7,S7&lt;&gt;T7,U7&lt;&gt;W7,V7&lt;&gt;X7),"carrying ?","true-breeding"))</f>
      </c>
    </row>
    <row r="8">
      <c r="A8" s="3" t="inlineStr">
        <is>
          <t xml:space="preserve">WILD-06</t>
        </is>
      </c>
      <c r="B8" t="inlineStr">
        <is>
          <t xml:space="preserve">Thornless Meadow (thornless donor)</t>
        </is>
      </c>
      <c r="C8" s="6">
        <v>30</v>
      </c>
      <c r="D8" s="6">
        <v>30</v>
      </c>
      <c r="E8" s="6">
        <v>30</v>
      </c>
      <c r="F8" s="6">
        <v>30</v>
      </c>
      <c r="G8" s="6">
        <v>30</v>
      </c>
      <c r="H8" s="6">
        <v>30</v>
      </c>
      <c r="I8" s="6">
        <v>13</v>
      </c>
      <c r="J8" s="6">
        <v>13</v>
      </c>
      <c r="K8" s="6">
        <v>12</v>
      </c>
      <c r="L8" s="6">
        <v>12</v>
      </c>
      <c r="M8" s="6">
        <v>10</v>
      </c>
      <c r="N8" s="6">
        <v>10</v>
      </c>
      <c r="O8" s="6">
        <v>10</v>
      </c>
      <c r="P8" s="6">
        <v>10</v>
      </c>
      <c r="Q8" s="6" t="inlineStr">
        <is>
          <t xml:space="preserve">R</t>
        </is>
      </c>
      <c r="R8" s="6" t="inlineStr">
        <is>
          <t xml:space="preserve">R</t>
        </is>
      </c>
      <c r="S8" s="6" t="inlineStr">
        <is>
          <t xml:space="preserve">n</t>
        </is>
      </c>
      <c r="T8" s="6" t="inlineStr">
        <is>
          <t xml:space="preserve">n</t>
        </is>
      </c>
      <c r="U8" s="6">
        <v>43</v>
      </c>
      <c r="V8" s="6">
        <v>42</v>
      </c>
      <c r="W8" s="6">
        <v>43</v>
      </c>
      <c r="X8" s="6">
        <v>42</v>
      </c>
      <c r="Y8" s="6">
        <f>IF($A8="","",SUM(C8:H8))</f>
      </c>
      <c r="Z8" s="6">
        <f>IF($A8="","",SUM(I8:L8))</f>
      </c>
      <c r="AA8" s="6">
        <f>IF($A8="","",SUM(M8:P8))</f>
      </c>
      <c r="AB8" s="6">
        <f>IF($A8="","",IF(IF(Q8="F",3,IF(Q8="R",2,1))&gt;=IF(R8="F",3,IF(R8="R",2,1)),Q8,R8))</f>
      </c>
      <c r="AC8" s="6">
        <f>IF($A8="","",IF(OR(S8="T",T8="T"),"thorny","thornless"))</f>
      </c>
      <c r="AD8" s="6">
        <f>IF($A8="","",AVERAGE(U8,W8))</f>
      </c>
      <c r="AE8" s="6">
        <f>IF($A8="","",AVERAGE(V8,X8))</f>
      </c>
      <c r="AF8" s="6">
        <f>IF($A8="","",IF(OR(C8&lt;&gt;D8,E8&lt;&gt;F8,G8&lt;&gt;H8,I8&lt;&gt;J8,K8&lt;&gt;L8,M8&lt;&gt;N8,O8&lt;&gt;P8,Q8&lt;&gt;R8,S8&lt;&gt;T8,U8&lt;&gt;W8,V8&lt;&gt;X8),"carrying ?","true-breeding"))</f>
      </c>
    </row>
    <row r="9">
      <c r="A9" s="3" t="inlineStr">
        <is>
          <t xml:space="preserve">WILD-07</t>
        </is>
      </c>
      <c r="B9" t="inlineStr">
        <is>
          <t xml:space="preserve">Dwarf Alpine (hardiness, carries star)</t>
        </is>
      </c>
      <c r="C9" s="6">
        <v>25</v>
      </c>
      <c r="D9" s="6">
        <v>25</v>
      </c>
      <c r="E9" s="6">
        <v>25</v>
      </c>
      <c r="F9" s="6">
        <v>25</v>
      </c>
      <c r="G9" s="6">
        <v>25</v>
      </c>
      <c r="H9" s="6">
        <v>25</v>
      </c>
      <c r="I9" s="6">
        <v>6</v>
      </c>
      <c r="J9" s="6">
        <v>6</v>
      </c>
      <c r="K9" s="6">
        <v>6</v>
      </c>
      <c r="L9" s="6">
        <v>6</v>
      </c>
      <c r="M9" s="6">
        <v>4</v>
      </c>
      <c r="N9" s="6">
        <v>4</v>
      </c>
      <c r="O9" s="6">
        <v>4</v>
      </c>
      <c r="P9" s="6">
        <v>4</v>
      </c>
      <c r="Q9" s="6" t="inlineStr">
        <is>
          <t xml:space="preserve">R</t>
        </is>
      </c>
      <c r="R9" s="6" t="inlineStr">
        <is>
          <t xml:space="preserve">S</t>
        </is>
      </c>
      <c r="S9" s="6" t="inlineStr">
        <is>
          <t xml:space="preserve">T</t>
        </is>
      </c>
      <c r="T9" s="6" t="inlineStr">
        <is>
          <t xml:space="preserve">T</t>
        </is>
      </c>
      <c r="U9" s="6">
        <v>81</v>
      </c>
      <c r="V9" s="6">
        <v>17</v>
      </c>
      <c r="W9" s="6">
        <v>81</v>
      </c>
      <c r="X9" s="6">
        <v>17</v>
      </c>
      <c r="Y9" s="6">
        <f>IF($A9="","",SUM(C9:H9))</f>
      </c>
      <c r="Z9" s="6">
        <f>IF($A9="","",SUM(I9:L9))</f>
      </c>
      <c r="AA9" s="6">
        <f>IF($A9="","",SUM(M9:P9))</f>
      </c>
      <c r="AB9" s="6">
        <f>IF($A9="","",IF(IF(Q9="F",3,IF(Q9="R",2,1))&gt;=IF(R9="F",3,IF(R9="R",2,1)),Q9,R9))</f>
      </c>
      <c r="AC9" s="6">
        <f>IF($A9="","",IF(OR(S9="T",T9="T"),"thorny","thornless"))</f>
      </c>
      <c r="AD9" s="6">
        <f>IF($A9="","",AVERAGE(U9,W9))</f>
      </c>
      <c r="AE9" s="6">
        <f>IF($A9="","",AVERAGE(V9,X9))</f>
      </c>
      <c r="AF9" s="6">
        <f>IF($A9="","",IF(OR(C9&lt;&gt;D9,E9&lt;&gt;F9,G9&lt;&gt;H9,I9&lt;&gt;J9,K9&lt;&gt;L9,M9&lt;&gt;N9,O9&lt;&gt;P9,Q9&lt;&gt;R9,S9&lt;&gt;T9,U9&lt;&gt;W9,V9&lt;&gt;X9),"carrying ?","true-breeding"))</f>
      </c>
    </row>
    <row r="10">
      <c r="A10" s="3" t="inlineStr">
        <is>
          <t xml:space="preserve">WILD-08</t>
        </is>
      </c>
      <c r="B10" t="inlineStr">
        <is>
          <t xml:space="preserve">Blush Climber (mild all-rounder)</t>
        </is>
      </c>
      <c r="C10" s="6">
        <v>55</v>
      </c>
      <c r="D10" s="6">
        <v>55</v>
      </c>
      <c r="E10" s="6">
        <v>55</v>
      </c>
      <c r="F10" s="6">
        <v>55</v>
      </c>
      <c r="G10" s="6">
        <v>55</v>
      </c>
      <c r="H10" s="6">
        <v>55</v>
      </c>
      <c r="I10" s="6">
        <v>11</v>
      </c>
      <c r="J10" s="6">
        <v>11</v>
      </c>
      <c r="K10" s="6">
        <v>11</v>
      </c>
      <c r="L10" s="6">
        <v>11</v>
      </c>
      <c r="M10" s="6">
        <v>8</v>
      </c>
      <c r="N10" s="6">
        <v>8</v>
      </c>
      <c r="O10" s="6">
        <v>7</v>
      </c>
      <c r="P10" s="6">
        <v>7</v>
      </c>
      <c r="Q10" s="6" t="inlineStr">
        <is>
          <t xml:space="preserve">R</t>
        </is>
      </c>
      <c r="R10" s="6" t="inlineStr">
        <is>
          <t xml:space="preserve">R</t>
        </is>
      </c>
      <c r="S10" s="6" t="inlineStr">
        <is>
          <t xml:space="preserve">T</t>
        </is>
      </c>
      <c r="T10" s="6" t="inlineStr">
        <is>
          <t xml:space="preserve">n</t>
        </is>
      </c>
      <c r="U10" s="6">
        <v>34</v>
      </c>
      <c r="V10" s="6">
        <v>37</v>
      </c>
      <c r="W10" s="6">
        <v>34</v>
      </c>
      <c r="X10" s="6">
        <v>37</v>
      </c>
      <c r="Y10" s="6">
        <f>IF($A10="","",SUM(C10:H10))</f>
      </c>
      <c r="Z10" s="6">
        <f>IF($A10="","",SUM(I10:L10))</f>
      </c>
      <c r="AA10" s="6">
        <f>IF($A10="","",SUM(M10:P10))</f>
      </c>
      <c r="AB10" s="6">
        <f>IF($A10="","",IF(IF(Q10="F",3,IF(Q10="R",2,1))&gt;=IF(R10="F",3,IF(R10="R",2,1)),Q10,R10))</f>
      </c>
      <c r="AC10" s="6">
        <f>IF($A10="","",IF(OR(S10="T",T10="T"),"thorny","thornless"))</f>
      </c>
      <c r="AD10" s="6">
        <f>IF($A10="","",AVERAGE(U10,W10))</f>
      </c>
      <c r="AE10" s="6">
        <f>IF($A10="","",AVERAGE(V10,X10))</f>
      </c>
      <c r="AF10" s="6">
        <f>IF($A10="","",IF(OR(C10&lt;&gt;D10,E10&lt;&gt;F10,G10&lt;&gt;H10,I10&lt;&gt;J10,K10&lt;&gt;L10,M10&lt;&gt;N10,O10&lt;&gt;P10,Q10&lt;&gt;R10,S10&lt;&gt;T10,U10&lt;&gt;W10,V10&lt;&gt;X10),"carrying ?","true-breeding"))</f>
      </c>
    </row>
    <row r="11">
      <c r="A11" s="11" t="inlineStr">
        <is>
          <t xml:space="preserve"/>
        </is>
      </c>
      <c r="B11" s="11" t="inlineStr">
        <is>
          <t xml:space="preserve"/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6">
        <f>IF($A11="","",SUM(C11:H11))</f>
      </c>
      <c r="Z11" s="6">
        <f>IF($A11="","",SUM(I11:L11))</f>
      </c>
      <c r="AA11" s="6">
        <f>IF($A11="","",SUM(M11:P11))</f>
      </c>
      <c r="AB11" s="6">
        <f>IF($A11="","",IF(IF(Q11="F",3,IF(Q11="R",2,1))&gt;=IF(R11="F",3,IF(R11="R",2,1)),Q11,R11))</f>
      </c>
      <c r="AC11" s="6">
        <f>IF($A11="","",IF(OR(S11="T",T11="T"),"thorny","thornless"))</f>
      </c>
      <c r="AD11" s="6">
        <f>IF($A11="","",AVERAGE(U11,W11))</f>
      </c>
      <c r="AE11" s="6">
        <f>IF($A11="","",AVERAGE(V11,X11))</f>
      </c>
      <c r="AF11" s="6">
        <f>IF($A11="","",IF(OR(C11&lt;&gt;D11,E11&lt;&gt;F11,G11&lt;&gt;H11,I11&lt;&gt;J11,K11&lt;&gt;L11,M11&lt;&gt;N11,O11&lt;&gt;P11,Q11&lt;&gt;R11,S11&lt;&gt;T11,U11&lt;&gt;W11,V11&lt;&gt;X11),"carrying ?","true-breeding"))</f>
      </c>
    </row>
    <row r="12">
      <c r="A12" s="11" t="inlineStr">
        <is>
          <t xml:space="preserve"/>
        </is>
      </c>
      <c r="B12" s="11" t="inlineStr">
        <is>
          <t xml:space="preserve"/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6">
        <f>IF($A12="","",SUM(C12:H12))</f>
      </c>
      <c r="Z12" s="6">
        <f>IF($A12="","",SUM(I12:L12))</f>
      </c>
      <c r="AA12" s="6">
        <f>IF($A12="","",SUM(M12:P12))</f>
      </c>
      <c r="AB12" s="6">
        <f>IF($A12="","",IF(IF(Q12="F",3,IF(Q12="R",2,1))&gt;=IF(R12="F",3,IF(R12="R",2,1)),Q12,R12))</f>
      </c>
      <c r="AC12" s="6">
        <f>IF($A12="","",IF(OR(S12="T",T12="T"),"thorny","thornless"))</f>
      </c>
      <c r="AD12" s="6">
        <f>IF($A12="","",AVERAGE(U12,W12))</f>
      </c>
      <c r="AE12" s="6">
        <f>IF($A12="","",AVERAGE(V12,X12))</f>
      </c>
      <c r="AF12" s="6">
        <f>IF($A12="","",IF(OR(C12&lt;&gt;D12,E12&lt;&gt;F12,G12&lt;&gt;H12,I12&lt;&gt;J12,K12&lt;&gt;L12,M12&lt;&gt;N12,O12&lt;&gt;P12,Q12&lt;&gt;R12,S12&lt;&gt;T12,U12&lt;&gt;W12,V12&lt;&gt;X12),"carrying ?","true-breeding"))</f>
      </c>
    </row>
    <row r="13">
      <c r="A13" s="11" t="inlineStr">
        <is>
          <t xml:space="preserve"/>
        </is>
      </c>
      <c r="B13" s="11" t="inlineStr">
        <is>
          <t xml:space="preserve"/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6">
        <f>IF($A13="","",SUM(C13:H13))</f>
      </c>
      <c r="Z13" s="6">
        <f>IF($A13="","",SUM(I13:L13))</f>
      </c>
      <c r="AA13" s="6">
        <f>IF($A13="","",SUM(M13:P13))</f>
      </c>
      <c r="AB13" s="6">
        <f>IF($A13="","",IF(IF(Q13="F",3,IF(Q13="R",2,1))&gt;=IF(R13="F",3,IF(R13="R",2,1)),Q13,R13))</f>
      </c>
      <c r="AC13" s="6">
        <f>IF($A13="","",IF(OR(S13="T",T13="T"),"thorny","thornless"))</f>
      </c>
      <c r="AD13" s="6">
        <f>IF($A13="","",AVERAGE(U13,W13))</f>
      </c>
      <c r="AE13" s="6">
        <f>IF($A13="","",AVERAGE(V13,X13))</f>
      </c>
      <c r="AF13" s="6">
        <f>IF($A13="","",IF(OR(C13&lt;&gt;D13,E13&lt;&gt;F13,G13&lt;&gt;H13,I13&lt;&gt;J13,K13&lt;&gt;L13,M13&lt;&gt;N13,O13&lt;&gt;P13,Q13&lt;&gt;R13,S13&lt;&gt;T13,U13&lt;&gt;W13,V13&lt;&gt;X13),"carrying ?","true-breeding"))</f>
      </c>
    </row>
    <row r="14">
      <c r="A14" s="11" t="inlineStr">
        <is>
          <t xml:space="preserve"/>
        </is>
      </c>
      <c r="B14" s="11" t="inlineStr">
        <is>
          <t xml:space="preserve"/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6">
        <f>IF($A14="","",SUM(C14:H14))</f>
      </c>
      <c r="Z14" s="6">
        <f>IF($A14="","",SUM(I14:L14))</f>
      </c>
      <c r="AA14" s="6">
        <f>IF($A14="","",SUM(M14:P14))</f>
      </c>
      <c r="AB14" s="6">
        <f>IF($A14="","",IF(IF(Q14="F",3,IF(Q14="R",2,1))&gt;=IF(R14="F",3,IF(R14="R",2,1)),Q14,R14))</f>
      </c>
      <c r="AC14" s="6">
        <f>IF($A14="","",IF(OR(S14="T",T14="T"),"thorny","thornless"))</f>
      </c>
      <c r="AD14" s="6">
        <f>IF($A14="","",AVERAGE(U14,W14))</f>
      </c>
      <c r="AE14" s="6">
        <f>IF($A14="","",AVERAGE(V14,X14))</f>
      </c>
      <c r="AF14" s="6">
        <f>IF($A14="","",IF(OR(C14&lt;&gt;D14,E14&lt;&gt;F14,G14&lt;&gt;H14,I14&lt;&gt;J14,K14&lt;&gt;L14,M14&lt;&gt;N14,O14&lt;&gt;P14,Q14&lt;&gt;R14,S14&lt;&gt;T14,U14&lt;&gt;W14,V14&lt;&gt;X14),"carrying ?","true-breeding"))</f>
      </c>
    </row>
    <row r="15">
      <c r="A15" s="11" t="inlineStr">
        <is>
          <t xml:space="preserve"/>
        </is>
      </c>
      <c r="B15" s="11" t="inlineStr">
        <is>
          <t xml:space="preserve"/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6">
        <f>IF($A15="","",SUM(C15:H15))</f>
      </c>
      <c r="Z15" s="6">
        <f>IF($A15="","",SUM(I15:L15))</f>
      </c>
      <c r="AA15" s="6">
        <f>IF($A15="","",SUM(M15:P15))</f>
      </c>
      <c r="AB15" s="6">
        <f>IF($A15="","",IF(IF(Q15="F",3,IF(Q15="R",2,1))&gt;=IF(R15="F",3,IF(R15="R",2,1)),Q15,R15))</f>
      </c>
      <c r="AC15" s="6">
        <f>IF($A15="","",IF(OR(S15="T",T15="T"),"thorny","thornless"))</f>
      </c>
      <c r="AD15" s="6">
        <f>IF($A15="","",AVERAGE(U15,W15))</f>
      </c>
      <c r="AE15" s="6">
        <f>IF($A15="","",AVERAGE(V15,X15))</f>
      </c>
      <c r="AF15" s="6">
        <f>IF($A15="","",IF(OR(C15&lt;&gt;D15,E15&lt;&gt;F15,G15&lt;&gt;H15,I15&lt;&gt;J15,K15&lt;&gt;L15,M15&lt;&gt;N15,O15&lt;&gt;P15,Q15&lt;&gt;R15,S15&lt;&gt;T15,U15&lt;&gt;W15,V15&lt;&gt;X15),"carrying ?","true-breeding"))</f>
      </c>
    </row>
    <row r="16">
      <c r="A16" s="11" t="inlineStr">
        <is>
          <t xml:space="preserve"/>
        </is>
      </c>
      <c r="B16" s="11" t="inlineStr">
        <is>
          <t xml:space="preserve"/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6">
        <f>IF($A16="","",SUM(C16:H16))</f>
      </c>
      <c r="Z16" s="6">
        <f>IF($A16="","",SUM(I16:L16))</f>
      </c>
      <c r="AA16" s="6">
        <f>IF($A16="","",SUM(M16:P16))</f>
      </c>
      <c r="AB16" s="6">
        <f>IF($A16="","",IF(IF(Q16="F",3,IF(Q16="R",2,1))&gt;=IF(R16="F",3,IF(R16="R",2,1)),Q16,R16))</f>
      </c>
      <c r="AC16" s="6">
        <f>IF($A16="","",IF(OR(S16="T",T16="T"),"thorny","thornless"))</f>
      </c>
      <c r="AD16" s="6">
        <f>IF($A16="","",AVERAGE(U16,W16))</f>
      </c>
      <c r="AE16" s="6">
        <f>IF($A16="","",AVERAGE(V16,X16))</f>
      </c>
      <c r="AF16" s="6">
        <f>IF($A16="","",IF(OR(C16&lt;&gt;D16,E16&lt;&gt;F16,G16&lt;&gt;H16,I16&lt;&gt;J16,K16&lt;&gt;L16,M16&lt;&gt;N16,O16&lt;&gt;P16,Q16&lt;&gt;R16,S16&lt;&gt;T16,U16&lt;&gt;W16,V16&lt;&gt;X16),"carrying ?","true-breeding"))</f>
      </c>
    </row>
    <row r="17">
      <c r="A17" s="11" t="inlineStr">
        <is>
          <t xml:space="preserve"/>
        </is>
      </c>
      <c r="B17" s="11" t="inlineStr">
        <is>
          <t xml:space="preserve"/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6">
        <f>IF($A17="","",SUM(C17:H17))</f>
      </c>
      <c r="Z17" s="6">
        <f>IF($A17="","",SUM(I17:L17))</f>
      </c>
      <c r="AA17" s="6">
        <f>IF($A17="","",SUM(M17:P17))</f>
      </c>
      <c r="AB17" s="6">
        <f>IF($A17="","",IF(IF(Q17="F",3,IF(Q17="R",2,1))&gt;=IF(R17="F",3,IF(R17="R",2,1)),Q17,R17))</f>
      </c>
      <c r="AC17" s="6">
        <f>IF($A17="","",IF(OR(S17="T",T17="T"),"thorny","thornless"))</f>
      </c>
      <c r="AD17" s="6">
        <f>IF($A17="","",AVERAGE(U17,W17))</f>
      </c>
      <c r="AE17" s="6">
        <f>IF($A17="","",AVERAGE(V17,X17))</f>
      </c>
      <c r="AF17" s="6">
        <f>IF($A17="","",IF(OR(C17&lt;&gt;D17,E17&lt;&gt;F17,G17&lt;&gt;H17,I17&lt;&gt;J17,K17&lt;&gt;L17,M17&lt;&gt;N17,O17&lt;&gt;P17,Q17&lt;&gt;R17,S17&lt;&gt;T17,U17&lt;&gt;W17,V17&lt;&gt;X17),"carrying ?","true-breeding"))</f>
      </c>
    </row>
    <row r="18">
      <c r="A18" s="11" t="inlineStr">
        <is>
          <t xml:space="preserve"/>
        </is>
      </c>
      <c r="B18" s="11" t="inlineStr">
        <is>
          <t xml:space="preserve"/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6">
        <f>IF($A18="","",SUM(C18:H18))</f>
      </c>
      <c r="Z18" s="6">
        <f>IF($A18="","",SUM(I18:L18))</f>
      </c>
      <c r="AA18" s="6">
        <f>IF($A18="","",SUM(M18:P18))</f>
      </c>
      <c r="AB18" s="6">
        <f>IF($A18="","",IF(IF(Q18="F",3,IF(Q18="R",2,1))&gt;=IF(R18="F",3,IF(R18="R",2,1)),Q18,R18))</f>
      </c>
      <c r="AC18" s="6">
        <f>IF($A18="","",IF(OR(S18="T",T18="T"),"thorny","thornless"))</f>
      </c>
      <c r="AD18" s="6">
        <f>IF($A18="","",AVERAGE(U18,W18))</f>
      </c>
      <c r="AE18" s="6">
        <f>IF($A18="","",AVERAGE(V18,X18))</f>
      </c>
      <c r="AF18" s="6">
        <f>IF($A18="","",IF(OR(C18&lt;&gt;D18,E18&lt;&gt;F18,G18&lt;&gt;H18,I18&lt;&gt;J18,K18&lt;&gt;L18,M18&lt;&gt;N18,O18&lt;&gt;P18,Q18&lt;&gt;R18,S18&lt;&gt;T18,U18&lt;&gt;W18,V18&lt;&gt;X18),"carrying ?","true-breeding"))</f>
      </c>
    </row>
    <row r="19">
      <c r="A19" s="11" t="inlineStr">
        <is>
          <t xml:space="preserve"/>
        </is>
      </c>
      <c r="B19" s="11" t="inlineStr">
        <is>
          <t xml:space="preserve"/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6">
        <f>IF($A19="","",SUM(C19:H19))</f>
      </c>
      <c r="Z19" s="6">
        <f>IF($A19="","",SUM(I19:L19))</f>
      </c>
      <c r="AA19" s="6">
        <f>IF($A19="","",SUM(M19:P19))</f>
      </c>
      <c r="AB19" s="6">
        <f>IF($A19="","",IF(IF(Q19="F",3,IF(Q19="R",2,1))&gt;=IF(R19="F",3,IF(R19="R",2,1)),Q19,R19))</f>
      </c>
      <c r="AC19" s="6">
        <f>IF($A19="","",IF(OR(S19="T",T19="T"),"thorny","thornless"))</f>
      </c>
      <c r="AD19" s="6">
        <f>IF($A19="","",AVERAGE(U19,W19))</f>
      </c>
      <c r="AE19" s="6">
        <f>IF($A19="","",AVERAGE(V19,X19))</f>
      </c>
      <c r="AF19" s="6">
        <f>IF($A19="","",IF(OR(C19&lt;&gt;D19,E19&lt;&gt;F19,G19&lt;&gt;H19,I19&lt;&gt;J19,K19&lt;&gt;L19,M19&lt;&gt;N19,O19&lt;&gt;P19,Q19&lt;&gt;R19,S19&lt;&gt;T19,U19&lt;&gt;W19,V19&lt;&gt;X19),"carrying ?","true-breeding"))</f>
      </c>
    </row>
    <row r="20">
      <c r="A20" s="11" t="inlineStr">
        <is>
          <t xml:space="preserve"/>
        </is>
      </c>
      <c r="B20" s="11" t="inlineStr">
        <is>
          <t xml:space="preserve"/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6">
        <f>IF($A20="","",SUM(C20:H20))</f>
      </c>
      <c r="Z20" s="6">
        <f>IF($A20="","",SUM(I20:L20))</f>
      </c>
      <c r="AA20" s="6">
        <f>IF($A20="","",SUM(M20:P20))</f>
      </c>
      <c r="AB20" s="6">
        <f>IF($A20="","",IF(IF(Q20="F",3,IF(Q20="R",2,1))&gt;=IF(R20="F",3,IF(R20="R",2,1)),Q20,R20))</f>
      </c>
      <c r="AC20" s="6">
        <f>IF($A20="","",IF(OR(S20="T",T20="T"),"thorny","thornless"))</f>
      </c>
      <c r="AD20" s="6">
        <f>IF($A20="","",AVERAGE(U20,W20))</f>
      </c>
      <c r="AE20" s="6">
        <f>IF($A20="","",AVERAGE(V20,X20))</f>
      </c>
      <c r="AF20" s="6">
        <f>IF($A20="","",IF(OR(C20&lt;&gt;D20,E20&lt;&gt;F20,G20&lt;&gt;H20,I20&lt;&gt;J20,K20&lt;&gt;L20,M20&lt;&gt;N20,O20&lt;&gt;P20,Q20&lt;&gt;R20,S20&lt;&gt;T20,U20&lt;&gt;W20,V20&lt;&gt;X20),"carrying ?","true-breeding"))</f>
      </c>
    </row>
    <row r="21">
      <c r="A21" s="11" t="inlineStr">
        <is>
          <t xml:space="preserve"/>
        </is>
      </c>
      <c r="B21" s="11" t="inlineStr">
        <is>
          <t xml:space="preserve"/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6">
        <f>IF($A21="","",SUM(C21:H21))</f>
      </c>
      <c r="Z21" s="6">
        <f>IF($A21="","",SUM(I21:L21))</f>
      </c>
      <c r="AA21" s="6">
        <f>IF($A21="","",SUM(M21:P21))</f>
      </c>
      <c r="AB21" s="6">
        <f>IF($A21="","",IF(IF(Q21="F",3,IF(Q21="R",2,1))&gt;=IF(R21="F",3,IF(R21="R",2,1)),Q21,R21))</f>
      </c>
      <c r="AC21" s="6">
        <f>IF($A21="","",IF(OR(S21="T",T21="T"),"thorny","thornless"))</f>
      </c>
      <c r="AD21" s="6">
        <f>IF($A21="","",AVERAGE(U21,W21))</f>
      </c>
      <c r="AE21" s="6">
        <f>IF($A21="","",AVERAGE(V21,X21))</f>
      </c>
      <c r="AF21" s="6">
        <f>IF($A21="","",IF(OR(C21&lt;&gt;D21,E21&lt;&gt;F21,G21&lt;&gt;H21,I21&lt;&gt;J21,K21&lt;&gt;L21,M21&lt;&gt;N21,O21&lt;&gt;P21,Q21&lt;&gt;R21,S21&lt;&gt;T21,U21&lt;&gt;W21,V21&lt;&gt;X21),"carrying ?","true-breeding"))</f>
      </c>
    </row>
    <row r="22">
      <c r="A22" s="11" t="inlineStr">
        <is>
          <t xml:space="preserve"/>
        </is>
      </c>
      <c r="B22" s="11" t="inlineStr">
        <is>
          <t xml:space="preserve"/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6">
        <f>IF($A22="","",SUM(C22:H22))</f>
      </c>
      <c r="Z22" s="6">
        <f>IF($A22="","",SUM(I22:L22))</f>
      </c>
      <c r="AA22" s="6">
        <f>IF($A22="","",SUM(M22:P22))</f>
      </c>
      <c r="AB22" s="6">
        <f>IF($A22="","",IF(IF(Q22="F",3,IF(Q22="R",2,1))&gt;=IF(R22="F",3,IF(R22="R",2,1)),Q22,R22))</f>
      </c>
      <c r="AC22" s="6">
        <f>IF($A22="","",IF(OR(S22="T",T22="T"),"thorny","thornless"))</f>
      </c>
      <c r="AD22" s="6">
        <f>IF($A22="","",AVERAGE(U22,W22))</f>
      </c>
      <c r="AE22" s="6">
        <f>IF($A22="","",AVERAGE(V22,X22))</f>
      </c>
      <c r="AF22" s="6">
        <f>IF($A22="","",IF(OR(C22&lt;&gt;D22,E22&lt;&gt;F22,G22&lt;&gt;H22,I22&lt;&gt;J22,K22&lt;&gt;L22,M22&lt;&gt;N22,O22&lt;&gt;P22,Q22&lt;&gt;R22,S22&lt;&gt;T22,U22&lt;&gt;W22,V22&lt;&gt;X22),"carrying ?","true-breeding"))</f>
      </c>
    </row>
    <row r="23">
      <c r="A23" s="11" t="inlineStr">
        <is>
          <t xml:space="preserve"/>
        </is>
      </c>
      <c r="B23" s="11" t="inlineStr">
        <is>
          <t xml:space="preserve"/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6">
        <f>IF($A23="","",SUM(C23:H23))</f>
      </c>
      <c r="Z23" s="6">
        <f>IF($A23="","",SUM(I23:L23))</f>
      </c>
      <c r="AA23" s="6">
        <f>IF($A23="","",SUM(M23:P23))</f>
      </c>
      <c r="AB23" s="6">
        <f>IF($A23="","",IF(IF(Q23="F",3,IF(Q23="R",2,1))&gt;=IF(R23="F",3,IF(R23="R",2,1)),Q23,R23))</f>
      </c>
      <c r="AC23" s="6">
        <f>IF($A23="","",IF(OR(S23="T",T23="T"),"thorny","thornless"))</f>
      </c>
      <c r="AD23" s="6">
        <f>IF($A23="","",AVERAGE(U23,W23))</f>
      </c>
      <c r="AE23" s="6">
        <f>IF($A23="","",AVERAGE(V23,X23))</f>
      </c>
      <c r="AF23" s="6">
        <f>IF($A23="","",IF(OR(C23&lt;&gt;D23,E23&lt;&gt;F23,G23&lt;&gt;H23,I23&lt;&gt;J23,K23&lt;&gt;L23,M23&lt;&gt;N23,O23&lt;&gt;P23,Q23&lt;&gt;R23,S23&lt;&gt;T23,U23&lt;&gt;W23,V23&lt;&gt;X23),"carrying ?","true-breeding"))</f>
      </c>
    </row>
    <row r="24">
      <c r="A24" s="11" t="inlineStr">
        <is>
          <t xml:space="preserve"/>
        </is>
      </c>
      <c r="B24" s="11" t="inlineStr">
        <is>
          <t xml:space="preserve"/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6">
        <f>IF($A24="","",SUM(C24:H24))</f>
      </c>
      <c r="Z24" s="6">
        <f>IF($A24="","",SUM(I24:L24))</f>
      </c>
      <c r="AA24" s="6">
        <f>IF($A24="","",SUM(M24:P24))</f>
      </c>
      <c r="AB24" s="6">
        <f>IF($A24="","",IF(IF(Q24="F",3,IF(Q24="R",2,1))&gt;=IF(R24="F",3,IF(R24="R",2,1)),Q24,R24))</f>
      </c>
      <c r="AC24" s="6">
        <f>IF($A24="","",IF(OR(S24="T",T24="T"),"thorny","thornless"))</f>
      </c>
      <c r="AD24" s="6">
        <f>IF($A24="","",AVERAGE(U24,W24))</f>
      </c>
      <c r="AE24" s="6">
        <f>IF($A24="","",AVERAGE(V24,X24))</f>
      </c>
      <c r="AF24" s="6">
        <f>IF($A24="","",IF(OR(C24&lt;&gt;D24,E24&lt;&gt;F24,G24&lt;&gt;H24,I24&lt;&gt;J24,K24&lt;&gt;L24,M24&lt;&gt;N24,O24&lt;&gt;P24,Q24&lt;&gt;R24,S24&lt;&gt;T24,U24&lt;&gt;W24,V24&lt;&gt;X24),"carrying ?","true-breeding"))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K18"/>
  <sheetViews>
    <sheetView workbookViewId="0">
      <pane xSplit="2" ySplit="12" topLeftCell="C13" activePane="bottomRight" state="frozen"/>
    </sheetView>
  </sheetViews>
  <sheetFormatPr defaultRowHeight="15"/>
  <cols>
    <col min="1" max="1" width="8" customWidth="1"/>
    <col min="2" max="2" width="18" customWidth="1"/>
    <col min="3" max="24" width="6.5" customWidth="1"/>
    <col min="25" max="32" width="11" customWidth="1"/>
    <col min="34" max="37" width="6" customWidth="1"/>
  </cols>
  <sheetData>
    <row r="1">
      <c r="A1" s="1" t="inlineStr">
        <is>
          <t xml:space="preserve">Cross — pick two parents, read the handful of seeds</t>
        </is>
      </c>
    </row>
    <row r="3">
      <c r="A3" s="3" t="inlineStr">
        <is>
          <t xml:space="preserve">Parent 1 ID</t>
        </is>
      </c>
      <c r="B3" s="5" t="inlineStr">
        <is>
          <t xml:space="preserve">WILD-03</t>
        </is>
      </c>
      <c r="D3" s="4" t="inlineStr">
        <is>
          <t xml:space="preserve">→ use any ID from the Plants tab.  Press F9 (Excel: Ctrl+Shift+F9) to roll a fresh handful.</t>
        </is>
      </c>
    </row>
    <row r="4">
      <c r="A4" s="3" t="inlineStr">
        <is>
          <t xml:space="preserve">Parent 2 ID</t>
        </is>
      </c>
      <c r="B4" s="5" t="inlineStr">
        <is>
          <t xml:space="preserve">WILD-01</t>
        </is>
      </c>
      <c r="D4" s="4" t="inlineStr">
        <is>
          <t xml:space="preserve">→ Keep one: copy its C–X cells, Paste-Special Values into an empty Plants row, add an ID.</t>
        </is>
      </c>
    </row>
    <row r="5">
      <c r="A5" s="3" t="inlineStr">
        <is>
          <t xml:space="preserve">Crossover prob.</t>
        </is>
      </c>
      <c r="B5" s="8">
        <v>0.05</v>
      </c>
    </row>
    <row r="6">
      <c r="A6" s="3" t="inlineStr">
        <is>
          <t xml:space="preserve">Env. wobble ±</t>
        </is>
      </c>
      <c r="B6" s="5">
        <v>0</v>
      </c>
    </row>
    <row r="8">
      <c r="A8" s="10" t="inlineStr">
        <is>
          <t xml:space="preserve">Target: saturated blue + thornless  (hue 220–240, sat &gt; 80, thorns = thornless)</t>
        </is>
      </c>
    </row>
    <row r="10">
      <c r="A10" s="2" t="inlineStr">
        <is>
          <t xml:space="preserve">role</t>
        </is>
      </c>
      <c r="B10" s="2" t="inlineStr">
        <is>
          <t xml:space="preserve">source</t>
        </is>
      </c>
      <c r="C10" s="2" t="inlineStr">
        <is>
          <t xml:space="preserve">H1a</t>
        </is>
      </c>
      <c r="D10" s="2" t="inlineStr">
        <is>
          <t xml:space="preserve">H1b</t>
        </is>
      </c>
      <c r="E10" s="2" t="inlineStr">
        <is>
          <t xml:space="preserve">H2a</t>
        </is>
      </c>
      <c r="F10" s="2" t="inlineStr">
        <is>
          <t xml:space="preserve">H2b</t>
        </is>
      </c>
      <c r="G10" s="2" t="inlineStr">
        <is>
          <t xml:space="preserve">H3a</t>
        </is>
      </c>
      <c r="H10" s="2" t="inlineStr">
        <is>
          <t xml:space="preserve">H3b</t>
        </is>
      </c>
      <c r="I10" s="2" t="inlineStr">
        <is>
          <t xml:space="preserve">S1a</t>
        </is>
      </c>
      <c r="J10" s="2" t="inlineStr">
        <is>
          <t xml:space="preserve">S1b</t>
        </is>
      </c>
      <c r="K10" s="2" t="inlineStr">
        <is>
          <t xml:space="preserve">S2a</t>
        </is>
      </c>
      <c r="L10" s="2" t="inlineStr">
        <is>
          <t xml:space="preserve">S2b</t>
        </is>
      </c>
      <c r="M10" s="2" t="inlineStr">
        <is>
          <t xml:space="preserve">C1a</t>
        </is>
      </c>
      <c r="N10" s="2" t="inlineStr">
        <is>
          <t xml:space="preserve">C1b</t>
        </is>
      </c>
      <c r="O10" s="2" t="inlineStr">
        <is>
          <t xml:space="preserve">C2a</t>
        </is>
      </c>
      <c r="P10" s="2" t="inlineStr">
        <is>
          <t xml:space="preserve">C2b</t>
        </is>
      </c>
      <c r="Q10" s="2" t="inlineStr">
        <is>
          <t xml:space="preserve">PFa</t>
        </is>
      </c>
      <c r="R10" s="2" t="inlineStr">
        <is>
          <t xml:space="preserve">PFb</t>
        </is>
      </c>
      <c r="S10" s="2" t="inlineStr">
        <is>
          <t xml:space="preserve">THa</t>
        </is>
      </c>
      <c r="T10" s="2" t="inlineStr">
        <is>
          <t xml:space="preserve">THb</t>
        </is>
      </c>
      <c r="U10" s="2" t="inlineStr">
        <is>
          <t xml:space="preserve">segA_hard</t>
        </is>
      </c>
      <c r="V10" s="2" t="inlineStr">
        <is>
          <t xml:space="preserve">segA_size</t>
        </is>
      </c>
      <c r="W10" s="2" t="inlineStr">
        <is>
          <t xml:space="preserve">segB_hard</t>
        </is>
      </c>
      <c r="X10" s="2" t="inlineStr">
        <is>
          <t xml:space="preserve">segB_size</t>
        </is>
      </c>
      <c r="Y10" s="2" t="inlineStr">
        <is>
          <t xml:space="preserve">hue (0-360)</t>
        </is>
      </c>
      <c r="Z10" s="2" t="inlineStr">
        <is>
          <t xml:space="preserve">sat (0-100)</t>
        </is>
      </c>
      <c r="AA10" s="2" t="inlineStr">
        <is>
          <t xml:space="preserve">scent (0-100)</t>
        </is>
      </c>
      <c r="AB10" s="2" t="inlineStr">
        <is>
          <t xml:space="preserve">petal</t>
        </is>
      </c>
      <c r="AC10" s="2" t="inlineStr">
        <is>
          <t xml:space="preserve">thorns</t>
        </is>
      </c>
      <c r="AD10" s="2" t="inlineStr">
        <is>
          <t xml:space="preserve">hardiness</t>
        </is>
      </c>
      <c r="AE10" s="2" t="inlineStr">
        <is>
          <t xml:space="preserve">flower_size</t>
        </is>
      </c>
      <c r="AF10" s="2" t="inlineStr">
        <is>
          <t xml:space="preserve">carrying?</t>
        </is>
      </c>
    </row>
    <row r="11">
      <c r="A11" s="3" t="inlineStr">
        <is>
          <t xml:space="preserve">Parent 1</t>
        </is>
      </c>
      <c r="B11">
        <f>$B$3</f>
      </c>
      <c r="C11" s="6">
        <f>INDEX(Plants!C:C,MATCH($B$3,Plants!$A:$A,0))</f>
      </c>
      <c r="D11" s="6">
        <f>INDEX(Plants!D:D,MATCH($B$3,Plants!$A:$A,0))</f>
      </c>
      <c r="E11" s="6">
        <f>INDEX(Plants!E:E,MATCH($B$3,Plants!$A:$A,0))</f>
      </c>
      <c r="F11" s="6">
        <f>INDEX(Plants!F:F,MATCH($B$3,Plants!$A:$A,0))</f>
      </c>
      <c r="G11" s="6">
        <f>INDEX(Plants!G:G,MATCH($B$3,Plants!$A:$A,0))</f>
      </c>
      <c r="H11" s="6">
        <f>INDEX(Plants!H:H,MATCH($B$3,Plants!$A:$A,0))</f>
      </c>
      <c r="I11" s="6">
        <f>INDEX(Plants!I:I,MATCH($B$3,Plants!$A:$A,0))</f>
      </c>
      <c r="J11" s="6">
        <f>INDEX(Plants!J:J,MATCH($B$3,Plants!$A:$A,0))</f>
      </c>
      <c r="K11" s="6">
        <f>INDEX(Plants!K:K,MATCH($B$3,Plants!$A:$A,0))</f>
      </c>
      <c r="L11" s="6">
        <f>INDEX(Plants!L:L,MATCH($B$3,Plants!$A:$A,0))</f>
      </c>
      <c r="M11" s="6">
        <f>INDEX(Plants!M:M,MATCH($B$3,Plants!$A:$A,0))</f>
      </c>
      <c r="N11" s="6">
        <f>INDEX(Plants!N:N,MATCH($B$3,Plants!$A:$A,0))</f>
      </c>
      <c r="O11" s="6">
        <f>INDEX(Plants!O:O,MATCH($B$3,Plants!$A:$A,0))</f>
      </c>
      <c r="P11" s="6">
        <f>INDEX(Plants!P:P,MATCH($B$3,Plants!$A:$A,0))</f>
      </c>
      <c r="Q11" s="6">
        <f>INDEX(Plants!Q:Q,MATCH($B$3,Plants!$A:$A,0))</f>
      </c>
      <c r="R11" s="6">
        <f>INDEX(Plants!R:R,MATCH($B$3,Plants!$A:$A,0))</f>
      </c>
      <c r="S11" s="6">
        <f>INDEX(Plants!S:S,MATCH($B$3,Plants!$A:$A,0))</f>
      </c>
      <c r="T11" s="6">
        <f>INDEX(Plants!T:T,MATCH($B$3,Plants!$A:$A,0))</f>
      </c>
      <c r="U11" s="6">
        <f>INDEX(Plants!U:U,MATCH($B$3,Plants!$A:$A,0))</f>
      </c>
      <c r="V11" s="6">
        <f>INDEX(Plants!V:V,MATCH($B$3,Plants!$A:$A,0))</f>
      </c>
      <c r="W11" s="6">
        <f>INDEX(Plants!W:W,MATCH($B$3,Plants!$A:$A,0))</f>
      </c>
      <c r="X11" s="6">
        <f>INDEX(Plants!X:X,MATCH($B$3,Plants!$A:$A,0))</f>
      </c>
      <c r="Y11" s="6">
        <f>SUM(C11:H11)</f>
      </c>
      <c r="Z11" s="6">
        <f>SUM(I11:L11)</f>
      </c>
      <c r="AA11" s="6">
        <f>SUM(M11:P11)</f>
      </c>
      <c r="AB11" s="6">
        <f>IF(IF(Q11="F",3,IF(Q11="R",2,1))&gt;=IF(R11="F",3,IF(R11="R",2,1)),Q11,R11)</f>
      </c>
      <c r="AC11" s="6">
        <f>IF(OR(S11="T",T11="T"),"thorny","thornless")</f>
      </c>
      <c r="AD11" s="6">
        <f>AVERAGE(U11,W11)</f>
      </c>
      <c r="AE11" s="6">
        <f>AVERAGE(V11,X11)</f>
      </c>
      <c r="AF11" s="6">
        <f>IF(OR(C11&lt;&gt;D11,E11&lt;&gt;F11,G11&lt;&gt;H11,I11&lt;&gt;J11,K11&lt;&gt;L11,M11&lt;&gt;N11,O11&lt;&gt;P11,Q11&lt;&gt;R11,S11&lt;&gt;T11,U11&lt;&gt;W11,V11&lt;&gt;X11),"carrying ?","true-breeding")</f>
      </c>
    </row>
    <row r="12">
      <c r="A12" s="3" t="inlineStr">
        <is>
          <t xml:space="preserve">Parent 2</t>
        </is>
      </c>
      <c r="B12">
        <f>$B$4</f>
      </c>
      <c r="C12" s="6">
        <f>INDEX(Plants!C:C,MATCH($B$4,Plants!$A:$A,0))</f>
      </c>
      <c r="D12" s="6">
        <f>INDEX(Plants!D:D,MATCH($B$4,Plants!$A:$A,0))</f>
      </c>
      <c r="E12" s="6">
        <f>INDEX(Plants!E:E,MATCH($B$4,Plants!$A:$A,0))</f>
      </c>
      <c r="F12" s="6">
        <f>INDEX(Plants!F:F,MATCH($B$4,Plants!$A:$A,0))</f>
      </c>
      <c r="G12" s="6">
        <f>INDEX(Plants!G:G,MATCH($B$4,Plants!$A:$A,0))</f>
      </c>
      <c r="H12" s="6">
        <f>INDEX(Plants!H:H,MATCH($B$4,Plants!$A:$A,0))</f>
      </c>
      <c r="I12" s="6">
        <f>INDEX(Plants!I:I,MATCH($B$4,Plants!$A:$A,0))</f>
      </c>
      <c r="J12" s="6">
        <f>INDEX(Plants!J:J,MATCH($B$4,Plants!$A:$A,0))</f>
      </c>
      <c r="K12" s="6">
        <f>INDEX(Plants!K:K,MATCH($B$4,Plants!$A:$A,0))</f>
      </c>
      <c r="L12" s="6">
        <f>INDEX(Plants!L:L,MATCH($B$4,Plants!$A:$A,0))</f>
      </c>
      <c r="M12" s="6">
        <f>INDEX(Plants!M:M,MATCH($B$4,Plants!$A:$A,0))</f>
      </c>
      <c r="N12" s="6">
        <f>INDEX(Plants!N:N,MATCH($B$4,Plants!$A:$A,0))</f>
      </c>
      <c r="O12" s="6">
        <f>INDEX(Plants!O:O,MATCH($B$4,Plants!$A:$A,0))</f>
      </c>
      <c r="P12" s="6">
        <f>INDEX(Plants!P:P,MATCH($B$4,Plants!$A:$A,0))</f>
      </c>
      <c r="Q12" s="6">
        <f>INDEX(Plants!Q:Q,MATCH($B$4,Plants!$A:$A,0))</f>
      </c>
      <c r="R12" s="6">
        <f>INDEX(Plants!R:R,MATCH($B$4,Plants!$A:$A,0))</f>
      </c>
      <c r="S12" s="6">
        <f>INDEX(Plants!S:S,MATCH($B$4,Plants!$A:$A,0))</f>
      </c>
      <c r="T12" s="6">
        <f>INDEX(Plants!T:T,MATCH($B$4,Plants!$A:$A,0))</f>
      </c>
      <c r="U12" s="6">
        <f>INDEX(Plants!U:U,MATCH($B$4,Plants!$A:$A,0))</f>
      </c>
      <c r="V12" s="6">
        <f>INDEX(Plants!V:V,MATCH($B$4,Plants!$A:$A,0))</f>
      </c>
      <c r="W12" s="6">
        <f>INDEX(Plants!W:W,MATCH($B$4,Plants!$A:$A,0))</f>
      </c>
      <c r="X12" s="6">
        <f>INDEX(Plants!X:X,MATCH($B$4,Plants!$A:$A,0))</f>
      </c>
      <c r="Y12" s="6">
        <f>SUM(C12:H12)</f>
      </c>
      <c r="Z12" s="6">
        <f>SUM(I12:L12)</f>
      </c>
      <c r="AA12" s="6">
        <f>SUM(M12:P12)</f>
      </c>
      <c r="AB12" s="6">
        <f>IF(IF(Q12="F",3,IF(Q12="R",2,1))&gt;=IF(R12="F",3,IF(R12="R",2,1)),Q12,R12)</f>
      </c>
      <c r="AC12" s="6">
        <f>IF(OR(S12="T",T12="T"),"thorny","thornless")</f>
      </c>
      <c r="AD12" s="6">
        <f>AVERAGE(U12,W12)</f>
      </c>
      <c r="AE12" s="6">
        <f>AVERAGE(V12,X12)</f>
      </c>
      <c r="AF12" s="6">
        <f>IF(OR(C12&lt;&gt;D12,E12&lt;&gt;F12,G12&lt;&gt;H12,I12&lt;&gt;J12,K12&lt;&gt;L12,M12&lt;&gt;N12,O12&lt;&gt;P12,Q12&lt;&gt;R12,S12&lt;&gt;T12,U12&lt;&gt;W12,V12&lt;&gt;X12),"carrying ?","true-breeding")</f>
      </c>
    </row>
    <row r="13">
      <c r="A13" s="2" t="inlineStr">
        <is>
          <t xml:space="preserve">seed</t>
        </is>
      </c>
      <c r="B13" s="2" t="inlineStr">
        <is>
          <t xml:space="preserve">(keep me → Plants)</t>
        </is>
      </c>
      <c r="C13" s="2" t="inlineStr">
        <is>
          <t xml:space="preserve">H1a</t>
        </is>
      </c>
      <c r="D13" s="2" t="inlineStr">
        <is>
          <t xml:space="preserve">H1b</t>
        </is>
      </c>
      <c r="E13" s="2" t="inlineStr">
        <is>
          <t xml:space="preserve">H2a</t>
        </is>
      </c>
      <c r="F13" s="2" t="inlineStr">
        <is>
          <t xml:space="preserve">H2b</t>
        </is>
      </c>
      <c r="G13" s="2" t="inlineStr">
        <is>
          <t xml:space="preserve">H3a</t>
        </is>
      </c>
      <c r="H13" s="2" t="inlineStr">
        <is>
          <t xml:space="preserve">H3b</t>
        </is>
      </c>
      <c r="I13" s="2" t="inlineStr">
        <is>
          <t xml:space="preserve">S1a</t>
        </is>
      </c>
      <c r="J13" s="2" t="inlineStr">
        <is>
          <t xml:space="preserve">S1b</t>
        </is>
      </c>
      <c r="K13" s="2" t="inlineStr">
        <is>
          <t xml:space="preserve">S2a</t>
        </is>
      </c>
      <c r="L13" s="2" t="inlineStr">
        <is>
          <t xml:space="preserve">S2b</t>
        </is>
      </c>
      <c r="M13" s="2" t="inlineStr">
        <is>
          <t xml:space="preserve">C1a</t>
        </is>
      </c>
      <c r="N13" s="2" t="inlineStr">
        <is>
          <t xml:space="preserve">C1b</t>
        </is>
      </c>
      <c r="O13" s="2" t="inlineStr">
        <is>
          <t xml:space="preserve">C2a</t>
        </is>
      </c>
      <c r="P13" s="2" t="inlineStr">
        <is>
          <t xml:space="preserve">C2b</t>
        </is>
      </c>
      <c r="Q13" s="2" t="inlineStr">
        <is>
          <t xml:space="preserve">PFa</t>
        </is>
      </c>
      <c r="R13" s="2" t="inlineStr">
        <is>
          <t xml:space="preserve">PFb</t>
        </is>
      </c>
      <c r="S13" s="2" t="inlineStr">
        <is>
          <t xml:space="preserve">THa</t>
        </is>
      </c>
      <c r="T13" s="2" t="inlineStr">
        <is>
          <t xml:space="preserve">THb</t>
        </is>
      </c>
      <c r="U13" s="2" t="inlineStr">
        <is>
          <t xml:space="preserve">segA_hard</t>
        </is>
      </c>
      <c r="V13" s="2" t="inlineStr">
        <is>
          <t xml:space="preserve">segA_size</t>
        </is>
      </c>
      <c r="W13" s="2" t="inlineStr">
        <is>
          <t xml:space="preserve">segB_hard</t>
        </is>
      </c>
      <c r="X13" s="2" t="inlineStr">
        <is>
          <t xml:space="preserve">segB_size</t>
        </is>
      </c>
      <c r="Y13" s="2" t="inlineStr">
        <is>
          <t xml:space="preserve">hue (0-360)</t>
        </is>
      </c>
      <c r="Z13" s="2" t="inlineStr">
        <is>
          <t xml:space="preserve">sat (0-100)</t>
        </is>
      </c>
      <c r="AA13" s="2" t="inlineStr">
        <is>
          <t xml:space="preserve">scent (0-100)</t>
        </is>
      </c>
      <c r="AB13" s="2" t="inlineStr">
        <is>
          <t xml:space="preserve">petal</t>
        </is>
      </c>
      <c r="AC13" s="2" t="inlineStr">
        <is>
          <t xml:space="preserve">thorns</t>
        </is>
      </c>
      <c r="AD13" s="2" t="inlineStr">
        <is>
          <t xml:space="preserve">hardiness</t>
        </is>
      </c>
      <c r="AE13" s="2" t="inlineStr">
        <is>
          <t xml:space="preserve">flower_size</t>
        </is>
      </c>
      <c r="AF13" s="2" t="inlineStr">
        <is>
          <t xml:space="preserve">carrying?</t>
        </is>
      </c>
      <c r="AH13" s="9" t="inlineStr">
        <is>
          <t xml:space="preserve">rP1</t>
        </is>
      </c>
      <c r="AI13" s="9" t="inlineStr">
        <is>
          <t xml:space="preserve">rC1</t>
        </is>
      </c>
      <c r="AJ13" s="9" t="inlineStr">
        <is>
          <t xml:space="preserve">rP2</t>
        </is>
      </c>
      <c r="AK13" s="9" t="inlineStr">
        <is>
          <t xml:space="preserve">rC2</t>
        </is>
      </c>
    </row>
    <row r="14">
      <c r="A14" s="3" t="inlineStr">
        <is>
          <t xml:space="preserve">O1</t>
        </is>
      </c>
      <c r="B14" s="11" t="inlineStr">
        <is>
          <t xml:space="preserve"/>
        </is>
      </c>
      <c r="C14" s="6">
        <f>IF(RAND()&lt;0.5,C11,D11)</f>
      </c>
      <c r="D14" s="6">
        <f>IF(RAND()&lt;0.5,C12,D12)</f>
      </c>
      <c r="E14" s="6">
        <f>IF(RAND()&lt;0.5,E11,F11)</f>
      </c>
      <c r="F14" s="6">
        <f>IF(RAND()&lt;0.5,E12,F12)</f>
      </c>
      <c r="G14" s="6">
        <f>IF(RAND()&lt;0.5,G11,H11)</f>
      </c>
      <c r="H14" s="6">
        <f>IF(RAND()&lt;0.5,G12,H12)</f>
      </c>
      <c r="I14" s="6">
        <f>IF(RAND()&lt;0.5,I11,J11)</f>
      </c>
      <c r="J14" s="6">
        <f>IF(RAND()&lt;0.5,I12,J12)</f>
      </c>
      <c r="K14" s="6">
        <f>IF(RAND()&lt;0.5,K11,L11)</f>
      </c>
      <c r="L14" s="6">
        <f>IF(RAND()&lt;0.5,K12,L12)</f>
      </c>
      <c r="M14" s="6">
        <f>IF(RAND()&lt;0.5,M11,N11)</f>
      </c>
      <c r="N14" s="6">
        <f>IF(RAND()&lt;0.5,M12,N12)</f>
      </c>
      <c r="O14" s="6">
        <f>IF(RAND()&lt;0.5,O11,P11)</f>
      </c>
      <c r="P14" s="6">
        <f>IF(RAND()&lt;0.5,O12,P12)</f>
      </c>
      <c r="Q14" s="6">
        <f>IF(RAND()&lt;0.5,Q11,R11)</f>
      </c>
      <c r="R14" s="6">
        <f>IF(RAND()&lt;0.5,Q12,R12)</f>
      </c>
      <c r="S14" s="6">
        <f>IF(RAND()&lt;0.5,S11,T11)</f>
      </c>
      <c r="T14" s="6">
        <f>IF(RAND()&lt;0.5,S12,T12)</f>
      </c>
      <c r="U14" s="6">
        <f>IF(AH14&lt;0.5,U11,W11)</f>
      </c>
      <c r="V14" s="6">
        <f>IF(AI14&lt;$B$5,IF(AH14&lt;0.5,X11,V11),IF(AH14&lt;0.5,V11,X11))</f>
      </c>
      <c r="W14" s="6">
        <f>IF(AJ14&lt;0.5,U12,W12)</f>
      </c>
      <c r="X14" s="6">
        <f>IF(AK14&lt;$B$5,IF(AJ14&lt;0.5,X12,V12),IF(AJ14&lt;0.5,V12,X12))</f>
      </c>
      <c r="Y14" s="6">
        <f>ROUND(SUM(C14:H14)+(RAND()*2-1)*$B$6,0)</f>
      </c>
      <c r="Z14" s="6">
        <f>ROUND(SUM(I14:L14)+(RAND()*2-1)*$B$6,0)</f>
      </c>
      <c r="AA14" s="6">
        <f>ROUND(SUM(M14:P14)+(RAND()*2-1)*$B$6,0)</f>
      </c>
      <c r="AB14" s="6">
        <f>IF(IF(Q14="F",3,IF(Q14="R",2,1))&gt;=IF(R14="F",3,IF(R14="R",2,1)),Q14,R14)</f>
      </c>
      <c r="AC14" s="6">
        <f>IF(OR(S14="T",T14="T"),"thorny","thornless")</f>
      </c>
      <c r="AD14" s="6">
        <f>ROUND(AVERAGE(U14,W14)+(RAND()*2-1)*$B$6,0)</f>
      </c>
      <c r="AE14" s="6">
        <f>ROUND(AVERAGE(V14,X14)+(RAND()*2-1)*$B$6,0)</f>
      </c>
      <c r="AF14" s="6">
        <f>IF(OR(C14&lt;&gt;D14,E14&lt;&gt;F14,G14&lt;&gt;H14,I14&lt;&gt;J14,K14&lt;&gt;L14,M14&lt;&gt;N14,O14&lt;&gt;P14,Q14&lt;&gt;R14,S14&lt;&gt;T14,U14&lt;&gt;W14,V14&lt;&gt;X14),"carrying ?","true-breeding")</f>
      </c>
      <c r="AH14" s="9">
        <f>RAND()</f>
      </c>
      <c r="AI14" s="9">
        <f>RAND()</f>
      </c>
      <c r="AJ14" s="9">
        <f>RAND()</f>
      </c>
      <c r="AK14" s="9">
        <f>RAND()</f>
      </c>
    </row>
    <row r="15">
      <c r="A15" s="3" t="inlineStr">
        <is>
          <t xml:space="preserve">O2</t>
        </is>
      </c>
      <c r="B15" s="11" t="inlineStr">
        <is>
          <t xml:space="preserve"/>
        </is>
      </c>
      <c r="C15" s="6">
        <f>IF(RAND()&lt;0.5,C11,D11)</f>
      </c>
      <c r="D15" s="6">
        <f>IF(RAND()&lt;0.5,C12,D12)</f>
      </c>
      <c r="E15" s="6">
        <f>IF(RAND()&lt;0.5,E11,F11)</f>
      </c>
      <c r="F15" s="6">
        <f>IF(RAND()&lt;0.5,E12,F12)</f>
      </c>
      <c r="G15" s="6">
        <f>IF(RAND()&lt;0.5,G11,H11)</f>
      </c>
      <c r="H15" s="6">
        <f>IF(RAND()&lt;0.5,G12,H12)</f>
      </c>
      <c r="I15" s="6">
        <f>IF(RAND()&lt;0.5,I11,J11)</f>
      </c>
      <c r="J15" s="6">
        <f>IF(RAND()&lt;0.5,I12,J12)</f>
      </c>
      <c r="K15" s="6">
        <f>IF(RAND()&lt;0.5,K11,L11)</f>
      </c>
      <c r="L15" s="6">
        <f>IF(RAND()&lt;0.5,K12,L12)</f>
      </c>
      <c r="M15" s="6">
        <f>IF(RAND()&lt;0.5,M11,N11)</f>
      </c>
      <c r="N15" s="6">
        <f>IF(RAND()&lt;0.5,M12,N12)</f>
      </c>
      <c r="O15" s="6">
        <f>IF(RAND()&lt;0.5,O11,P11)</f>
      </c>
      <c r="P15" s="6">
        <f>IF(RAND()&lt;0.5,O12,P12)</f>
      </c>
      <c r="Q15" s="6">
        <f>IF(RAND()&lt;0.5,Q11,R11)</f>
      </c>
      <c r="R15" s="6">
        <f>IF(RAND()&lt;0.5,Q12,R12)</f>
      </c>
      <c r="S15" s="6">
        <f>IF(RAND()&lt;0.5,S11,T11)</f>
      </c>
      <c r="T15" s="6">
        <f>IF(RAND()&lt;0.5,S12,T12)</f>
      </c>
      <c r="U15" s="6">
        <f>IF(AH15&lt;0.5,U11,W11)</f>
      </c>
      <c r="V15" s="6">
        <f>IF(AI15&lt;$B$5,IF(AH15&lt;0.5,X11,V11),IF(AH15&lt;0.5,V11,X11))</f>
      </c>
      <c r="W15" s="6">
        <f>IF(AJ15&lt;0.5,U12,W12)</f>
      </c>
      <c r="X15" s="6">
        <f>IF(AK15&lt;$B$5,IF(AJ15&lt;0.5,X12,V12),IF(AJ15&lt;0.5,V12,X12))</f>
      </c>
      <c r="Y15" s="6">
        <f>ROUND(SUM(C15:H15)+(RAND()*2-1)*$B$6,0)</f>
      </c>
      <c r="Z15" s="6">
        <f>ROUND(SUM(I15:L15)+(RAND()*2-1)*$B$6,0)</f>
      </c>
      <c r="AA15" s="6">
        <f>ROUND(SUM(M15:P15)+(RAND()*2-1)*$B$6,0)</f>
      </c>
      <c r="AB15" s="6">
        <f>IF(IF(Q15="F",3,IF(Q15="R",2,1))&gt;=IF(R15="F",3,IF(R15="R",2,1)),Q15,R15)</f>
      </c>
      <c r="AC15" s="6">
        <f>IF(OR(S15="T",T15="T"),"thorny","thornless")</f>
      </c>
      <c r="AD15" s="6">
        <f>ROUND(AVERAGE(U15,W15)+(RAND()*2-1)*$B$6,0)</f>
      </c>
      <c r="AE15" s="6">
        <f>ROUND(AVERAGE(V15,X15)+(RAND()*2-1)*$B$6,0)</f>
      </c>
      <c r="AF15" s="6">
        <f>IF(OR(C15&lt;&gt;D15,E15&lt;&gt;F15,G15&lt;&gt;H15,I15&lt;&gt;J15,K15&lt;&gt;L15,M15&lt;&gt;N15,O15&lt;&gt;P15,Q15&lt;&gt;R15,S15&lt;&gt;T15,U15&lt;&gt;W15,V15&lt;&gt;X15),"carrying ?","true-breeding")</f>
      </c>
      <c r="AH15" s="9">
        <f>RAND()</f>
      </c>
      <c r="AI15" s="9">
        <f>RAND()</f>
      </c>
      <c r="AJ15" s="9">
        <f>RAND()</f>
      </c>
      <c r="AK15" s="9">
        <f>RAND()</f>
      </c>
    </row>
    <row r="16">
      <c r="A16" s="3" t="inlineStr">
        <is>
          <t xml:space="preserve">O3</t>
        </is>
      </c>
      <c r="B16" s="11" t="inlineStr">
        <is>
          <t xml:space="preserve"/>
        </is>
      </c>
      <c r="C16" s="6">
        <f>IF(RAND()&lt;0.5,C11,D11)</f>
      </c>
      <c r="D16" s="6">
        <f>IF(RAND()&lt;0.5,C12,D12)</f>
      </c>
      <c r="E16" s="6">
        <f>IF(RAND()&lt;0.5,E11,F11)</f>
      </c>
      <c r="F16" s="6">
        <f>IF(RAND()&lt;0.5,E12,F12)</f>
      </c>
      <c r="G16" s="6">
        <f>IF(RAND()&lt;0.5,G11,H11)</f>
      </c>
      <c r="H16" s="6">
        <f>IF(RAND()&lt;0.5,G12,H12)</f>
      </c>
      <c r="I16" s="6">
        <f>IF(RAND()&lt;0.5,I11,J11)</f>
      </c>
      <c r="J16" s="6">
        <f>IF(RAND()&lt;0.5,I12,J12)</f>
      </c>
      <c r="K16" s="6">
        <f>IF(RAND()&lt;0.5,K11,L11)</f>
      </c>
      <c r="L16" s="6">
        <f>IF(RAND()&lt;0.5,K12,L12)</f>
      </c>
      <c r="M16" s="6">
        <f>IF(RAND()&lt;0.5,M11,N11)</f>
      </c>
      <c r="N16" s="6">
        <f>IF(RAND()&lt;0.5,M12,N12)</f>
      </c>
      <c r="O16" s="6">
        <f>IF(RAND()&lt;0.5,O11,P11)</f>
      </c>
      <c r="P16" s="6">
        <f>IF(RAND()&lt;0.5,O12,P12)</f>
      </c>
      <c r="Q16" s="6">
        <f>IF(RAND()&lt;0.5,Q11,R11)</f>
      </c>
      <c r="R16" s="6">
        <f>IF(RAND()&lt;0.5,Q12,R12)</f>
      </c>
      <c r="S16" s="6">
        <f>IF(RAND()&lt;0.5,S11,T11)</f>
      </c>
      <c r="T16" s="6">
        <f>IF(RAND()&lt;0.5,S12,T12)</f>
      </c>
      <c r="U16" s="6">
        <f>IF(AH16&lt;0.5,U11,W11)</f>
      </c>
      <c r="V16" s="6">
        <f>IF(AI16&lt;$B$5,IF(AH16&lt;0.5,X11,V11),IF(AH16&lt;0.5,V11,X11))</f>
      </c>
      <c r="W16" s="6">
        <f>IF(AJ16&lt;0.5,U12,W12)</f>
      </c>
      <c r="X16" s="6">
        <f>IF(AK16&lt;$B$5,IF(AJ16&lt;0.5,X12,V12),IF(AJ16&lt;0.5,V12,X12))</f>
      </c>
      <c r="Y16" s="6">
        <f>ROUND(SUM(C16:H16)+(RAND()*2-1)*$B$6,0)</f>
      </c>
      <c r="Z16" s="6">
        <f>ROUND(SUM(I16:L16)+(RAND()*2-1)*$B$6,0)</f>
      </c>
      <c r="AA16" s="6">
        <f>ROUND(SUM(M16:P16)+(RAND()*2-1)*$B$6,0)</f>
      </c>
      <c r="AB16" s="6">
        <f>IF(IF(Q16="F",3,IF(Q16="R",2,1))&gt;=IF(R16="F",3,IF(R16="R",2,1)),Q16,R16)</f>
      </c>
      <c r="AC16" s="6">
        <f>IF(OR(S16="T",T16="T"),"thorny","thornless")</f>
      </c>
      <c r="AD16" s="6">
        <f>ROUND(AVERAGE(U16,W16)+(RAND()*2-1)*$B$6,0)</f>
      </c>
      <c r="AE16" s="6">
        <f>ROUND(AVERAGE(V16,X16)+(RAND()*2-1)*$B$6,0)</f>
      </c>
      <c r="AF16" s="6">
        <f>IF(OR(C16&lt;&gt;D16,E16&lt;&gt;F16,G16&lt;&gt;H16,I16&lt;&gt;J16,K16&lt;&gt;L16,M16&lt;&gt;N16,O16&lt;&gt;P16,Q16&lt;&gt;R16,S16&lt;&gt;T16,U16&lt;&gt;W16,V16&lt;&gt;X16),"carrying ?","true-breeding")</f>
      </c>
      <c r="AH16" s="9">
        <f>RAND()</f>
      </c>
      <c r="AI16" s="9">
        <f>RAND()</f>
      </c>
      <c r="AJ16" s="9">
        <f>RAND()</f>
      </c>
      <c r="AK16" s="9">
        <f>RAND()</f>
      </c>
    </row>
    <row r="17">
      <c r="A17" s="3" t="inlineStr">
        <is>
          <t xml:space="preserve">O4</t>
        </is>
      </c>
      <c r="B17" s="11" t="inlineStr">
        <is>
          <t xml:space="preserve"/>
        </is>
      </c>
      <c r="C17" s="6">
        <f>IF(RAND()&lt;0.5,C11,D11)</f>
      </c>
      <c r="D17" s="6">
        <f>IF(RAND()&lt;0.5,C12,D12)</f>
      </c>
      <c r="E17" s="6">
        <f>IF(RAND()&lt;0.5,E11,F11)</f>
      </c>
      <c r="F17" s="6">
        <f>IF(RAND()&lt;0.5,E12,F12)</f>
      </c>
      <c r="G17" s="6">
        <f>IF(RAND()&lt;0.5,G11,H11)</f>
      </c>
      <c r="H17" s="6">
        <f>IF(RAND()&lt;0.5,G12,H12)</f>
      </c>
      <c r="I17" s="6">
        <f>IF(RAND()&lt;0.5,I11,J11)</f>
      </c>
      <c r="J17" s="6">
        <f>IF(RAND()&lt;0.5,I12,J12)</f>
      </c>
      <c r="K17" s="6">
        <f>IF(RAND()&lt;0.5,K11,L11)</f>
      </c>
      <c r="L17" s="6">
        <f>IF(RAND()&lt;0.5,K12,L12)</f>
      </c>
      <c r="M17" s="6">
        <f>IF(RAND()&lt;0.5,M11,N11)</f>
      </c>
      <c r="N17" s="6">
        <f>IF(RAND()&lt;0.5,M12,N12)</f>
      </c>
      <c r="O17" s="6">
        <f>IF(RAND()&lt;0.5,O11,P11)</f>
      </c>
      <c r="P17" s="6">
        <f>IF(RAND()&lt;0.5,O12,P12)</f>
      </c>
      <c r="Q17" s="6">
        <f>IF(RAND()&lt;0.5,Q11,R11)</f>
      </c>
      <c r="R17" s="6">
        <f>IF(RAND()&lt;0.5,Q12,R12)</f>
      </c>
      <c r="S17" s="6">
        <f>IF(RAND()&lt;0.5,S11,T11)</f>
      </c>
      <c r="T17" s="6">
        <f>IF(RAND()&lt;0.5,S12,T12)</f>
      </c>
      <c r="U17" s="6">
        <f>IF(AH17&lt;0.5,U11,W11)</f>
      </c>
      <c r="V17" s="6">
        <f>IF(AI17&lt;$B$5,IF(AH17&lt;0.5,X11,V11),IF(AH17&lt;0.5,V11,X11))</f>
      </c>
      <c r="W17" s="6">
        <f>IF(AJ17&lt;0.5,U12,W12)</f>
      </c>
      <c r="X17" s="6">
        <f>IF(AK17&lt;$B$5,IF(AJ17&lt;0.5,X12,V12),IF(AJ17&lt;0.5,V12,X12))</f>
      </c>
      <c r="Y17" s="6">
        <f>ROUND(SUM(C17:H17)+(RAND()*2-1)*$B$6,0)</f>
      </c>
      <c r="Z17" s="6">
        <f>ROUND(SUM(I17:L17)+(RAND()*2-1)*$B$6,0)</f>
      </c>
      <c r="AA17" s="6">
        <f>ROUND(SUM(M17:P17)+(RAND()*2-1)*$B$6,0)</f>
      </c>
      <c r="AB17" s="6">
        <f>IF(IF(Q17="F",3,IF(Q17="R",2,1))&gt;=IF(R17="F",3,IF(R17="R",2,1)),Q17,R17)</f>
      </c>
      <c r="AC17" s="6">
        <f>IF(OR(S17="T",T17="T"),"thorny","thornless")</f>
      </c>
      <c r="AD17" s="6">
        <f>ROUND(AVERAGE(U17,W17)+(RAND()*2-1)*$B$6,0)</f>
      </c>
      <c r="AE17" s="6">
        <f>ROUND(AVERAGE(V17,X17)+(RAND()*2-1)*$B$6,0)</f>
      </c>
      <c r="AF17" s="6">
        <f>IF(OR(C17&lt;&gt;D17,E17&lt;&gt;F17,G17&lt;&gt;H17,I17&lt;&gt;J17,K17&lt;&gt;L17,M17&lt;&gt;N17,O17&lt;&gt;P17,Q17&lt;&gt;R17,S17&lt;&gt;T17,U17&lt;&gt;W17,V17&lt;&gt;X17),"carrying ?","true-breeding")</f>
      </c>
      <c r="AH17" s="9">
        <f>RAND()</f>
      </c>
      <c r="AI17" s="9">
        <f>RAND()</f>
      </c>
      <c r="AJ17" s="9">
        <f>RAND()</f>
      </c>
      <c r="AK17" s="9">
        <f>RAND()</f>
      </c>
    </row>
    <row r="18">
      <c r="A18" s="3" t="inlineStr">
        <is>
          <t xml:space="preserve">O5</t>
        </is>
      </c>
      <c r="B18" s="11" t="inlineStr">
        <is>
          <t xml:space="preserve"/>
        </is>
      </c>
      <c r="C18" s="6">
        <f>IF(RAND()&lt;0.5,C11,D11)</f>
      </c>
      <c r="D18" s="6">
        <f>IF(RAND()&lt;0.5,C12,D12)</f>
      </c>
      <c r="E18" s="6">
        <f>IF(RAND()&lt;0.5,E11,F11)</f>
      </c>
      <c r="F18" s="6">
        <f>IF(RAND()&lt;0.5,E12,F12)</f>
      </c>
      <c r="G18" s="6">
        <f>IF(RAND()&lt;0.5,G11,H11)</f>
      </c>
      <c r="H18" s="6">
        <f>IF(RAND()&lt;0.5,G12,H12)</f>
      </c>
      <c r="I18" s="6">
        <f>IF(RAND()&lt;0.5,I11,J11)</f>
      </c>
      <c r="J18" s="6">
        <f>IF(RAND()&lt;0.5,I12,J12)</f>
      </c>
      <c r="K18" s="6">
        <f>IF(RAND()&lt;0.5,K11,L11)</f>
      </c>
      <c r="L18" s="6">
        <f>IF(RAND()&lt;0.5,K12,L12)</f>
      </c>
      <c r="M18" s="6">
        <f>IF(RAND()&lt;0.5,M11,N11)</f>
      </c>
      <c r="N18" s="6">
        <f>IF(RAND()&lt;0.5,M12,N12)</f>
      </c>
      <c r="O18" s="6">
        <f>IF(RAND()&lt;0.5,O11,P11)</f>
      </c>
      <c r="P18" s="6">
        <f>IF(RAND()&lt;0.5,O12,P12)</f>
      </c>
      <c r="Q18" s="6">
        <f>IF(RAND()&lt;0.5,Q11,R11)</f>
      </c>
      <c r="R18" s="6">
        <f>IF(RAND()&lt;0.5,Q12,R12)</f>
      </c>
      <c r="S18" s="6">
        <f>IF(RAND()&lt;0.5,S11,T11)</f>
      </c>
      <c r="T18" s="6">
        <f>IF(RAND()&lt;0.5,S12,T12)</f>
      </c>
      <c r="U18" s="6">
        <f>IF(AH18&lt;0.5,U11,W11)</f>
      </c>
      <c r="V18" s="6">
        <f>IF(AI18&lt;$B$5,IF(AH18&lt;0.5,X11,V11),IF(AH18&lt;0.5,V11,X11))</f>
      </c>
      <c r="W18" s="6">
        <f>IF(AJ18&lt;0.5,U12,W12)</f>
      </c>
      <c r="X18" s="6">
        <f>IF(AK18&lt;$B$5,IF(AJ18&lt;0.5,X12,V12),IF(AJ18&lt;0.5,V12,X12))</f>
      </c>
      <c r="Y18" s="6">
        <f>ROUND(SUM(C18:H18)+(RAND()*2-1)*$B$6,0)</f>
      </c>
      <c r="Z18" s="6">
        <f>ROUND(SUM(I18:L18)+(RAND()*2-1)*$B$6,0)</f>
      </c>
      <c r="AA18" s="6">
        <f>ROUND(SUM(M18:P18)+(RAND()*2-1)*$B$6,0)</f>
      </c>
      <c r="AB18" s="6">
        <f>IF(IF(Q18="F",3,IF(Q18="R",2,1))&gt;=IF(R18="F",3,IF(R18="R",2,1)),Q18,R18)</f>
      </c>
      <c r="AC18" s="6">
        <f>IF(OR(S18="T",T18="T"),"thorny","thornless")</f>
      </c>
      <c r="AD18" s="6">
        <f>ROUND(AVERAGE(U18,W18)+(RAND()*2-1)*$B$6,0)</f>
      </c>
      <c r="AE18" s="6">
        <f>ROUND(AVERAGE(V18,X18)+(RAND()*2-1)*$B$6,0)</f>
      </c>
      <c r="AF18" s="6">
        <f>IF(OR(C18&lt;&gt;D18,E18&lt;&gt;F18,G18&lt;&gt;H18,I18&lt;&gt;J18,K18&lt;&gt;L18,M18&lt;&gt;N18,O18&lt;&gt;P18,Q18&lt;&gt;R18,S18&lt;&gt;T18,U18&lt;&gt;W18,V18&lt;&gt;X18),"carrying ?","true-breeding")</f>
      </c>
      <c r="AH18" s="9">
        <f>RAND()</f>
      </c>
      <c r="AI18" s="9">
        <f>RAND()</f>
      </c>
      <c r="AJ18" s="9">
        <f>RAND()</f>
      </c>
      <c r="AK18" s="9">
        <f>RAND()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Seed Library POC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Seed Library — Phase 0 genetics sandbox</dc:title>
  <dc:creator>Seed Library</dc:creator>
</cp:coreProperties>
</file>